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50" windowWidth="13395" windowHeight="7500"/>
  </bookViews>
  <sheets>
    <sheet name="Sheet1" sheetId="1" r:id="rId1"/>
    <sheet name="Sheet2" sheetId="2" r:id="rId2"/>
    <sheet name="Sheet3" sheetId="3" r:id="rId3"/>
  </sheets>
  <definedNames>
    <definedName name="_xlnm._FilterDatabase" localSheetId="1" hidden="1">Sheet2!$A$1:$A$51</definedName>
    <definedName name="categories">Sheet1!$I$9:$I$20</definedName>
    <definedName name="date_number_50" localSheetId="1">Sheet2!$A$1:$C$51</definedName>
    <definedName name="ExpenseAmount">OFFSET(Sheet2!$C$1,1,,COUNTA(Sheet2!$A$1:$A$99999)-1,1)</definedName>
    <definedName name="ExpenseCategory">OFFSET(Sheet2!$B$1,1,,COUNTA(Sheet2!$A$1:$A$99999)-1,1)</definedName>
    <definedName name="ExpenseDate">OFFSET(Sheet2!$A$1,1,,COUNTA(Sheet2!$A$1:$A$99999)-1,1)</definedName>
    <definedName name="Months">Sheet1!$R$9:$R$20</definedName>
    <definedName name="SelMonth">Sheet1!$Q$7</definedName>
    <definedName name="SelYear">Sheet1!$B$2</definedName>
  </definedNames>
  <calcPr calcId="145621"/>
</workbook>
</file>

<file path=xl/calcChain.xml><?xml version="1.0" encoding="utf-8"?>
<calcChain xmlns="http://schemas.openxmlformats.org/spreadsheetml/2006/main">
  <c r="J22" i="1" l="1"/>
  <c r="I22" i="1"/>
  <c r="A13" i="2"/>
  <c r="A4" i="2"/>
  <c r="A5" i="2" s="1"/>
  <c r="A6" i="2" s="1"/>
  <c r="A7" i="2" s="1"/>
  <c r="A8" i="2" s="1"/>
  <c r="A9" i="2" s="1"/>
  <c r="A10" i="2" s="1"/>
  <c r="A11" i="2" s="1"/>
  <c r="A12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" i="2"/>
  <c r="Q7" i="1" l="1"/>
  <c r="Q10" i="1" l="1"/>
  <c r="Q12" i="1"/>
  <c r="Q14" i="1"/>
  <c r="Q16" i="1"/>
  <c r="Q18" i="1"/>
  <c r="Q20" i="1"/>
  <c r="Q11" i="1"/>
  <c r="Q13" i="1"/>
  <c r="Q15" i="1"/>
  <c r="Q17" i="1"/>
  <c r="Q19" i="1"/>
  <c r="Q9" i="1"/>
  <c r="J9" i="1"/>
  <c r="J10" i="1"/>
  <c r="J11" i="1"/>
  <c r="J13" i="1"/>
  <c r="J15" i="1"/>
  <c r="J17" i="1"/>
  <c r="J19" i="1"/>
  <c r="J12" i="1"/>
  <c r="J14" i="1"/>
  <c r="J16" i="1"/>
  <c r="J18" i="1"/>
  <c r="J20" i="1"/>
  <c r="J21" i="1" l="1"/>
  <c r="J23" i="1" s="1"/>
</calcChain>
</file>

<file path=xl/connections.xml><?xml version="1.0" encoding="utf-8"?>
<connections xmlns="http://schemas.openxmlformats.org/spreadsheetml/2006/main">
  <connection id="1" name="date_number_50" type="6" refreshedVersion="4" background="1" saveData="1">
    <textPr codePage="437" sourceFile="D:\Data Analyst\data sets\date_number_50.csv" tab="0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<sst xmlns="http://schemas.openxmlformats.org/spreadsheetml/2006/main" count="99" uniqueCount="39">
  <si>
    <t>PERSONAL MONTHLY BUDGET PLANNER</t>
  </si>
  <si>
    <t>January</t>
  </si>
  <si>
    <t>Monthly Budget:</t>
  </si>
  <si>
    <t>Auto &amp; Transport</t>
  </si>
  <si>
    <t>Bills &amp; Utilities</t>
  </si>
  <si>
    <t xml:space="preserve">Education </t>
  </si>
  <si>
    <t>Entertainment</t>
  </si>
  <si>
    <t>Food &amp; Drink</t>
  </si>
  <si>
    <t>Health &amp; Fitness</t>
  </si>
  <si>
    <t>Insurance</t>
  </si>
  <si>
    <t>Kids &amp; Family</t>
  </si>
  <si>
    <t>Rent/Mortgage</t>
  </si>
  <si>
    <t>Shopping</t>
  </si>
  <si>
    <t>Travel</t>
  </si>
  <si>
    <t>Uncategorized</t>
  </si>
  <si>
    <t>Amount</t>
  </si>
  <si>
    <t>Category</t>
  </si>
  <si>
    <t>Date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</si>
  <si>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</si>
  <si>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</si>
  <si>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</si>
  <si>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</si>
  <si>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</si>
  <si>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</si>
  <si>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</si>
  <si>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</si>
  <si>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</si>
  <si>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</si>
  <si>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</si>
  <si>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Months</t>
  </si>
  <si>
    <t>Graph Data</t>
  </si>
  <si>
    <t>Month#</t>
  </si>
  <si>
    <t>Total Expenses</t>
  </si>
  <si>
    <t>Bills &amp; Utilties</t>
  </si>
  <si>
    <t>Education</t>
  </si>
  <si>
    <t>Remaining</t>
  </si>
  <si>
    <t xml:space="preserve"> </t>
  </si>
  <si>
    <t xml:space="preserve">Month: </t>
  </si>
  <si>
    <t>Year: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</si>
</sst>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 &quot;₹&quot;\ * #,##0.00_ ;_ &quot;₹&quot;\ * \-#,##0.00_ ;_ &quot;₹&quot;\ * &quot;-&quot;??_ ;_ @_ "/>
    <numFmt numFmtId="164" formatCode="&quot;₹&quot;\ 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0"/>
      <name val="Bahnschrift SemiCondensed"/>
      <family val="2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 style="thick">
        <color theme="1" tint="0.34998626667073579"/>
      </bottom>
      <diagonal/>
    </border>
    <border>
      <left/>
      <right/>
      <top style="thick">
        <color theme="1" tint="0.34998626667073579"/>
      </top>
      <bottom style="thick">
        <color theme="1" tint="0.34998626667073579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5">
    <xf numFmtId="0" fontId="0" fillId="0" borderId="0" xfId="0"/>
    <xf numFmtId="0" fontId="0" fillId="2" borderId="0" xfId="0" applyFill="1"/>
    <xf numFmtId="0" fontId="0" fillId="0" borderId="0" xfId="0" applyAlignment="1"/>
    <xf numFmtId="0" fontId="3" fillId="2" borderId="0" xfId="0" applyFont="1" applyFill="1" applyAlignment="1">
      <alignment horizontal="right"/>
    </xf>
    <xf numFmtId="0" fontId="3" fillId="2" borderId="0" xfId="0" applyFont="1" applyFill="1" applyAlignment="1">
      <alignment horizontal="left"/>
    </xf>
    <xf numFmtId="0" fontId="3" fillId="2" borderId="0" xfId="0" applyFont="1" applyFill="1"/>
    <xf numFmtId="164" fontId="3" fillId="2" borderId="0" xfId="1" applyNumberFormat="1" applyFont="1" applyFill="1" applyAlignment="1">
      <alignment horizontal="left"/>
    </xf>
    <xf numFmtId="44" fontId="0" fillId="0" borderId="0" xfId="1" applyFont="1"/>
    <xf numFmtId="14" fontId="0" fillId="0" borderId="0" xfId="0" applyNumberFormat="1"/>
    <xf numFmtId="0" fontId="0" fillId="0" borderId="1" xfId="0" applyBorder="1"/>
    <xf numFmtId="0" fontId="4" fillId="3" borderId="1" xfId="0" applyFont="1" applyFill="1" applyBorder="1"/>
    <xf numFmtId="0" fontId="4" fillId="3" borderId="1" xfId="0" applyFont="1" applyFill="1" applyBorder="1" applyAlignment="1">
      <alignment horizontal="right"/>
    </xf>
    <xf numFmtId="0" fontId="2" fillId="2" borderId="0" xfId="0" applyFont="1" applyFill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0" fillId="0" borderId="2" xfId="0" applyBorder="1"/>
    <xf numFmtId="44" fontId="0" fillId="0" borderId="2" xfId="1" applyFont="1" applyBorder="1"/>
    <xf numFmtId="0" fontId="0" fillId="0" borderId="3" xfId="0" applyBorder="1"/>
    <xf numFmtId="44" fontId="0" fillId="0" borderId="3" xfId="1" applyFont="1" applyBorder="1"/>
    <xf numFmtId="0" fontId="4" fillId="0" borderId="4" xfId="0" applyFont="1" applyBorder="1"/>
    <xf numFmtId="0" fontId="4" fillId="0" borderId="5" xfId="0" applyFont="1" applyBorder="1"/>
    <xf numFmtId="44" fontId="4" fillId="0" borderId="4" xfId="1" applyFont="1" applyBorder="1"/>
    <xf numFmtId="44" fontId="4" fillId="0" borderId="5" xfId="1" applyFont="1" applyBorder="1"/>
    <xf numFmtId="0" fontId="3" fillId="2" borderId="0" xfId="0" applyFont="1" applyFill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3" fillId="2" borderId="0" xfId="0" applyFont="1" applyFill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colors>
    <mruColors>
      <color rgb="FF00B050"/>
      <color rgb="FF000000"/>
      <color rgb="FF71893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7951478174761623"/>
          <c:y val="0.11708542750204809"/>
          <c:w val="0.50684150282431739"/>
          <c:h val="0.5784095407819434"/>
        </c:manualLayout>
      </c:layout>
      <c:doughnutChart>
        <c:varyColors val="1"/>
        <c:ser>
          <c:idx val="0"/>
          <c:order val="0"/>
          <c:explosion val="36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Sheet1!$P$9:$P$20</c:f>
              <c:strCache>
                <c:ptCount val="12"/>
                <c:pt idx="0">
                  <c:v>Auto &amp; Transport</c:v>
                </c:pt>
                <c:pt idx="1">
                  <c:v>Bills &amp; Utilities</c:v>
                </c:pt>
                <c:pt idx="2">
                  <c:v>Education </c:v>
                </c:pt>
                <c:pt idx="3">
                  <c:v>Entertainment</c:v>
                </c:pt>
                <c:pt idx="4">
                  <c:v>Food &amp; Drink</c:v>
                </c:pt>
                <c:pt idx="5">
                  <c:v>Health &amp; Fitness</c:v>
                </c:pt>
                <c:pt idx="6">
                  <c:v>Insurance</c:v>
                </c:pt>
                <c:pt idx="7">
                  <c:v>Kids &amp; Family</c:v>
                </c:pt>
                <c:pt idx="8">
                  <c:v>Rent/Mortgage</c:v>
                </c:pt>
                <c:pt idx="9">
                  <c:v>Shopping</c:v>
                </c:pt>
                <c:pt idx="10">
                  <c:v>Travel</c:v>
                </c:pt>
                <c:pt idx="11">
                  <c:v>Uncategorized</c:v>
                </c:pt>
              </c:strCache>
            </c:strRef>
          </c:cat>
          <c:val>
            <c:numRef>
              <c:f>Sheet1!$Q$9:$Q$20</c:f>
              <c:numCache>
                <c:formatCode>General</c:formatCode>
                <c:ptCount val="12"/>
                <c:pt idx="0">
                  <c:v>101</c:v>
                </c:pt>
                <c:pt idx="1">
                  <c:v>85</c:v>
                </c:pt>
                <c:pt idx="2">
                  <c:v>124</c:v>
                </c:pt>
                <c:pt idx="3">
                  <c:v>75</c:v>
                </c:pt>
                <c:pt idx="4">
                  <c:v>162</c:v>
                </c:pt>
                <c:pt idx="5">
                  <c:v>27</c:v>
                </c:pt>
                <c:pt idx="6">
                  <c:v>194</c:v>
                </c:pt>
                <c:pt idx="7">
                  <c:v>139</c:v>
                </c:pt>
                <c:pt idx="8">
                  <c:v>124</c:v>
                </c:pt>
                <c:pt idx="9">
                  <c:v>117</c:v>
                </c:pt>
                <c:pt idx="10">
                  <c:v>93</c:v>
                </c:pt>
                <c:pt idx="11">
                  <c:v>#N/A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13"/>
      </c:doughnutChart>
    </c:plotArea>
    <c:legend>
      <c:legendPos val="b"/>
      <c:layout>
        <c:manualLayout>
          <c:xMode val="edge"/>
          <c:yMode val="edge"/>
          <c:x val="4.7424680434215494E-2"/>
          <c:y val="0.72608406874795084"/>
          <c:w val="0.8835141854732661"/>
          <c:h val="0.16280479313813384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1083099906629318E-2"/>
          <c:y val="1.4035087719298246E-2"/>
          <c:w val="0.95891690009337072"/>
          <c:h val="0.92280701754385963"/>
        </c:manualLayout>
      </c:layout>
      <c:bar3DChart>
        <c:barDir val="bar"/>
        <c:grouping val="stacked"/>
        <c:varyColors val="0"/>
        <c:ser>
          <c:idx val="0"/>
          <c:order val="0"/>
          <c:spPr>
            <a:solidFill>
              <a:srgbClr val="00B050"/>
            </a:solidFill>
          </c:spPr>
          <c:invertIfNegative val="0"/>
          <c:val>
            <c:numRef>
              <c:f>Sheet1!$J$21</c:f>
              <c:numCache>
                <c:formatCode>_("₹"* #,##0.00_);_("₹"* \(#,##0.00\);_("₹"* "-"??_);_(@_)</c:formatCode>
                <c:ptCount val="1"/>
                <c:pt idx="0">
                  <c:v>1241</c:v>
                </c:pt>
              </c:numCache>
            </c:numRef>
          </c:val>
        </c:ser>
        <c:ser>
          <c:idx val="1"/>
          <c:order val="1"/>
          <c:spPr>
            <a:solidFill>
              <a:schemeClr val="bg1">
                <a:lumMod val="75000"/>
              </a:schemeClr>
            </a:solidFill>
          </c:spPr>
          <c:invertIfNegative val="0"/>
          <c:val>
            <c:numRef>
              <c:f>Sheet1!$J$22</c:f>
              <c:numCache>
                <c:formatCode>_("₹"* #,##0.00_);_("₹"* \(#,##0.00\);_("₹"* "-"??_);_(@_)</c:formatCode>
                <c:ptCount val="1"/>
                <c:pt idx="0">
                  <c:v>50000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315120256"/>
        <c:axId val="315127680"/>
        <c:axId val="0"/>
      </c:bar3DChart>
      <c:catAx>
        <c:axId val="315120256"/>
        <c:scaling>
          <c:orientation val="minMax"/>
        </c:scaling>
        <c:delete val="1"/>
        <c:axPos val="l"/>
        <c:majorTickMark val="out"/>
        <c:minorTickMark val="none"/>
        <c:tickLblPos val="nextTo"/>
        <c:crossAx val="315127680"/>
        <c:crosses val="autoZero"/>
        <c:auto val="1"/>
        <c:lblAlgn val="ctr"/>
        <c:lblOffset val="100"/>
        <c:noMultiLvlLbl val="0"/>
      </c:catAx>
      <c:valAx>
        <c:axId val="315127680"/>
        <c:scaling>
          <c:orientation val="minMax"/>
        </c:scaling>
        <c:delete val="1"/>
        <c:axPos val="b"/>
        <c:numFmt formatCode="_(&quot;₹&quot;* #,##0.00_);_(&quot;₹&quot;* \(#,##0.00\);_(&quot;₹&quot;* &quot;-&quot;??_);_(@_)" sourceLinked="1"/>
        <c:majorTickMark val="out"/>
        <c:minorTickMark val="none"/>
        <c:tickLblPos val="nextTo"/>
        <c:crossAx val="31512025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chart" Target="../charts/chart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559593</xdr:colOff>
      <xdr:row>8</xdr:row>
      <xdr:rowOff>0</xdr:rowOff>
    </xdr:from>
    <xdr:to>
      <xdr:col>7</xdr:col>
      <xdr:colOff>2705100</xdr:colOff>
      <xdr:row>21</xdr:row>
      <xdr:rowOff>200026</xdr:rowOff>
    </xdr:to>
    <xdr:grpSp>
      <xdr:nvGrpSpPr>
        <xdr:cNvPr id="14" name="Group 13"/>
        <xdr:cNvGrpSpPr/>
      </xdr:nvGrpSpPr>
      <xdr:grpSpPr>
        <a:xfrm>
          <a:off x="4140993" y="1666875"/>
          <a:ext cx="3364707" cy="2800351"/>
          <a:chOff x="3626643" y="1666875"/>
          <a:chExt cx="3364707" cy="2800351"/>
        </a:xfrm>
        <a:effectLst>
          <a:outerShdw blurRad="63500" sx="102000" sy="102000" algn="ctr" rotWithShape="0">
            <a:prstClr val="black">
              <a:alpha val="40000"/>
            </a:prstClr>
          </a:outerShdw>
        </a:effectLst>
      </xdr:grpSpPr>
      <xdr:pic>
        <xdr:nvPicPr>
          <xdr:cNvPr id="2" name="Picture 1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20249" y="1666875"/>
            <a:ext cx="504000" cy="504000"/>
          </a:xfrm>
          <a:prstGeom prst="rect">
            <a:avLst/>
          </a:prstGeom>
        </xdr:spPr>
      </xdr:pic>
      <xdr:pic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43962" y="1721625"/>
            <a:ext cx="504000" cy="504000"/>
          </a:xfrm>
          <a:prstGeom prst="rect">
            <a:avLst/>
          </a:prstGeom>
        </xdr:spPr>
      </xdr:pic>
      <xdr:pic>
        <xdr:nvPicPr>
          <xdr:cNvPr id="4" name="Picture 3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20249" y="2614575"/>
            <a:ext cx="504000" cy="504000"/>
          </a:xfrm>
          <a:prstGeom prst="rect">
            <a:avLst/>
          </a:prstGeom>
        </xdr:spPr>
      </xdr:pic>
      <xdr:pic>
        <xdr:nvPicPr>
          <xdr:cNvPr id="5" name="Picture 4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793743" y="2612175"/>
            <a:ext cx="504000" cy="504000"/>
          </a:xfrm>
          <a:prstGeom prst="rect">
            <a:avLst/>
          </a:prstGeom>
        </xdr:spPr>
      </xdr:pic>
      <xdr:pic>
        <xdr:nvPicPr>
          <xdr:cNvPr id="6" name="Picture 5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29574" y="2581200"/>
            <a:ext cx="504000" cy="504000"/>
          </a:xfrm>
          <a:prstGeom prst="rect">
            <a:avLst/>
          </a:prstGeom>
        </xdr:spPr>
      </xdr:pic>
      <xdr:pic>
        <xdr:nvPicPr>
          <xdr:cNvPr id="7" name="Picture 6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793743" y="1692975"/>
            <a:ext cx="504000" cy="504000"/>
          </a:xfrm>
          <a:prstGeom prst="rect">
            <a:avLst/>
          </a:prstGeom>
        </xdr:spPr>
      </xdr:pic>
      <xdr:pic>
        <xdr:nvPicPr>
          <xdr:cNvPr id="8" name="Picture 7"/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43962" y="2595450"/>
            <a:ext cx="504000" cy="504000"/>
          </a:xfrm>
          <a:prstGeom prst="rect">
            <a:avLst/>
          </a:prstGeom>
        </xdr:spPr>
      </xdr:pic>
      <xdr:pic>
        <xdr:nvPicPr>
          <xdr:cNvPr id="12" name="Picture 11"/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29574" y="1671450"/>
            <a:ext cx="504000" cy="504000"/>
          </a:xfrm>
          <a:prstGeom prst="rect">
            <a:avLst/>
          </a:prstGeom>
        </xdr:spPr>
      </xdr:pic>
      <xdr:pic>
        <xdr:nvPicPr>
          <xdr:cNvPr id="13" name="Picture 12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793743" y="3526425"/>
            <a:ext cx="504000" cy="504000"/>
          </a:xfrm>
          <a:prstGeom prst="rect">
            <a:avLst/>
          </a:prstGeom>
        </xdr:spPr>
      </xdr:pic>
      <xdr:sp macro="" textlink="$J$9">
        <xdr:nvSpPr>
          <xdr:cNvPr id="15" name="Rectangle 14"/>
          <xdr:cNvSpPr/>
        </xdr:nvSpPr>
        <xdr:spPr>
          <a:xfrm>
            <a:off x="3626643" y="2171700"/>
            <a:ext cx="838201" cy="2571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69D63FD-EB02-4D75-9D4D-CD718AC1135C}" type="TxLink">
              <a:rPr lang="en-US" sz="1200" b="1">
                <a:solidFill>
                  <a:sysClr val="windowText" lastClr="000000"/>
                </a:solidFill>
              </a:rPr>
              <a:pPr algn="ctr"/>
              <a:t> ₹ 101.00 </a:t>
            </a:fld>
            <a:endParaRPr lang="en-US" sz="1200" b="1">
              <a:solidFill>
                <a:sysClr val="windowText" lastClr="000000"/>
              </a:solidFill>
            </a:endParaRPr>
          </a:p>
        </xdr:txBody>
      </xdr:sp>
      <xdr:sp macro="" textlink="$J$9">
        <xdr:nvSpPr>
          <xdr:cNvPr id="16" name="Rectangle 15"/>
          <xdr:cNvSpPr/>
        </xdr:nvSpPr>
        <xdr:spPr>
          <a:xfrm>
            <a:off x="4562474" y="2171700"/>
            <a:ext cx="838201" cy="2571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69D63FD-EB02-4D75-9D4D-CD718AC1135C}" type="TxLink">
              <a:rPr lang="en-US" sz="1200" b="1">
                <a:solidFill>
                  <a:sysClr val="windowText" lastClr="000000"/>
                </a:solidFill>
              </a:rPr>
              <a:pPr algn="ctr"/>
              <a:t> ₹ 101.00 </a:t>
            </a:fld>
            <a:endParaRPr lang="en-US" sz="1200" b="1">
              <a:solidFill>
                <a:sysClr val="windowText" lastClr="000000"/>
              </a:solidFill>
            </a:endParaRPr>
          </a:p>
        </xdr:txBody>
      </xdr:sp>
      <xdr:sp macro="" textlink="$J$9">
        <xdr:nvSpPr>
          <xdr:cNvPr id="17" name="Rectangle 16"/>
          <xdr:cNvSpPr/>
        </xdr:nvSpPr>
        <xdr:spPr>
          <a:xfrm>
            <a:off x="5376862" y="2171700"/>
            <a:ext cx="838201" cy="2571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69D63FD-EB02-4D75-9D4D-CD718AC1135C}" type="TxLink">
              <a:rPr lang="en-US" sz="1200" b="1">
                <a:solidFill>
                  <a:sysClr val="windowText" lastClr="000000"/>
                </a:solidFill>
              </a:rPr>
              <a:pPr algn="ctr"/>
              <a:t> ₹ 101.00 </a:t>
            </a:fld>
            <a:endParaRPr lang="en-US" sz="1200" b="1">
              <a:solidFill>
                <a:sysClr val="windowText" lastClr="000000"/>
              </a:solidFill>
            </a:endParaRPr>
          </a:p>
        </xdr:txBody>
      </xdr:sp>
      <xdr:sp macro="" textlink="$J$9">
        <xdr:nvSpPr>
          <xdr:cNvPr id="18" name="Rectangle 17"/>
          <xdr:cNvSpPr/>
        </xdr:nvSpPr>
        <xdr:spPr>
          <a:xfrm>
            <a:off x="6153149" y="2171700"/>
            <a:ext cx="838201" cy="2571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69D63FD-EB02-4D75-9D4D-CD718AC1135C}" type="TxLink">
              <a:rPr lang="en-US" sz="1200" b="1">
                <a:solidFill>
                  <a:sysClr val="windowText" lastClr="000000"/>
                </a:solidFill>
              </a:rPr>
              <a:pPr algn="ctr"/>
              <a:t> ₹ 101.00 </a:t>
            </a:fld>
            <a:endParaRPr lang="en-US" sz="1200" b="1">
              <a:solidFill>
                <a:sysClr val="windowText" lastClr="000000"/>
              </a:solidFill>
            </a:endParaRPr>
          </a:p>
        </xdr:txBody>
      </xdr:sp>
      <xdr:sp macro="" textlink="$J$9">
        <xdr:nvSpPr>
          <xdr:cNvPr id="19" name="Rectangle 18"/>
          <xdr:cNvSpPr/>
        </xdr:nvSpPr>
        <xdr:spPr>
          <a:xfrm>
            <a:off x="3626643" y="3114675"/>
            <a:ext cx="838201" cy="2571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69D63FD-EB02-4D75-9D4D-CD718AC1135C}" type="TxLink">
              <a:rPr lang="en-US" sz="1200" b="1">
                <a:solidFill>
                  <a:sysClr val="windowText" lastClr="000000"/>
                </a:solidFill>
              </a:rPr>
              <a:pPr algn="ctr"/>
              <a:t> ₹ 101.00 </a:t>
            </a:fld>
            <a:endParaRPr lang="en-US" sz="1200" b="1">
              <a:solidFill>
                <a:sysClr val="windowText" lastClr="000000"/>
              </a:solidFill>
            </a:endParaRPr>
          </a:p>
        </xdr:txBody>
      </xdr:sp>
      <xdr:sp macro="" textlink="$J$9">
        <xdr:nvSpPr>
          <xdr:cNvPr id="20" name="Rectangle 19"/>
          <xdr:cNvSpPr/>
        </xdr:nvSpPr>
        <xdr:spPr>
          <a:xfrm>
            <a:off x="4562474" y="3114675"/>
            <a:ext cx="838201" cy="2571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69D63FD-EB02-4D75-9D4D-CD718AC1135C}" type="TxLink">
              <a:rPr lang="en-US" sz="1200" b="1">
                <a:solidFill>
                  <a:sysClr val="windowText" lastClr="000000"/>
                </a:solidFill>
              </a:rPr>
              <a:pPr algn="ctr"/>
              <a:t> ₹ 101.00 </a:t>
            </a:fld>
            <a:endParaRPr lang="en-US" sz="1200" b="1">
              <a:solidFill>
                <a:sysClr val="windowText" lastClr="000000"/>
              </a:solidFill>
            </a:endParaRPr>
          </a:p>
        </xdr:txBody>
      </xdr:sp>
      <xdr:sp macro="" textlink="$J$9">
        <xdr:nvSpPr>
          <xdr:cNvPr id="21" name="Rectangle 20"/>
          <xdr:cNvSpPr/>
        </xdr:nvSpPr>
        <xdr:spPr>
          <a:xfrm>
            <a:off x="5376862" y="3114675"/>
            <a:ext cx="838201" cy="2571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69D63FD-EB02-4D75-9D4D-CD718AC1135C}" type="TxLink">
              <a:rPr lang="en-US" sz="1200" b="1">
                <a:solidFill>
                  <a:sysClr val="windowText" lastClr="000000"/>
                </a:solidFill>
              </a:rPr>
              <a:pPr algn="ctr"/>
              <a:t> ₹ 101.00 </a:t>
            </a:fld>
            <a:endParaRPr lang="en-US" sz="1200" b="1">
              <a:solidFill>
                <a:sysClr val="windowText" lastClr="000000"/>
              </a:solidFill>
            </a:endParaRPr>
          </a:p>
        </xdr:txBody>
      </xdr:sp>
      <xdr:sp macro="" textlink="$J$9">
        <xdr:nvSpPr>
          <xdr:cNvPr id="22" name="Rectangle 21"/>
          <xdr:cNvSpPr/>
        </xdr:nvSpPr>
        <xdr:spPr>
          <a:xfrm>
            <a:off x="6153149" y="3114675"/>
            <a:ext cx="838201" cy="2571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69D63FD-EB02-4D75-9D4D-CD718AC1135C}" type="TxLink">
              <a:rPr lang="en-US" sz="1200" b="1">
                <a:solidFill>
                  <a:sysClr val="windowText" lastClr="000000"/>
                </a:solidFill>
              </a:rPr>
              <a:pPr algn="ctr"/>
              <a:t> ₹ 101.00 </a:t>
            </a:fld>
            <a:endParaRPr lang="en-US" sz="1200" b="1">
              <a:solidFill>
                <a:sysClr val="windowText" lastClr="000000"/>
              </a:solidFill>
            </a:endParaRPr>
          </a:p>
        </xdr:txBody>
      </xdr:sp>
      <xdr:sp macro="" textlink="$J$9">
        <xdr:nvSpPr>
          <xdr:cNvPr id="23" name="Rectangle 22"/>
          <xdr:cNvSpPr/>
        </xdr:nvSpPr>
        <xdr:spPr>
          <a:xfrm>
            <a:off x="3626643" y="4014788"/>
            <a:ext cx="838201" cy="2571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69D63FD-EB02-4D75-9D4D-CD718AC1135C}" type="TxLink">
              <a:rPr lang="en-US" sz="1200" b="1">
                <a:solidFill>
                  <a:sysClr val="windowText" lastClr="000000"/>
                </a:solidFill>
              </a:rPr>
              <a:pPr algn="ctr"/>
              <a:t> ₹ 101.00 </a:t>
            </a:fld>
            <a:endParaRPr lang="en-US" sz="1200" b="1">
              <a:solidFill>
                <a:sysClr val="windowText" lastClr="000000"/>
              </a:solidFill>
            </a:endParaRPr>
          </a:p>
        </xdr:txBody>
      </xdr:sp>
      <xdr:sp macro="" textlink="$J$9">
        <xdr:nvSpPr>
          <xdr:cNvPr id="24" name="Rectangle 23"/>
          <xdr:cNvSpPr/>
        </xdr:nvSpPr>
        <xdr:spPr>
          <a:xfrm>
            <a:off x="4562474" y="4014788"/>
            <a:ext cx="838201" cy="2571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69D63FD-EB02-4D75-9D4D-CD718AC1135C}" type="TxLink">
              <a:rPr lang="en-US" sz="1200" b="1">
                <a:solidFill>
                  <a:sysClr val="windowText" lastClr="000000"/>
                </a:solidFill>
              </a:rPr>
              <a:pPr algn="ctr"/>
              <a:t> ₹ 101.00 </a:t>
            </a:fld>
            <a:endParaRPr lang="en-US" sz="1200" b="1">
              <a:solidFill>
                <a:sysClr val="windowText" lastClr="000000"/>
              </a:solidFill>
            </a:endParaRPr>
          </a:p>
        </xdr:txBody>
      </xdr:sp>
      <xdr:sp macro="" textlink="$J$9">
        <xdr:nvSpPr>
          <xdr:cNvPr id="25" name="Rectangle 24"/>
          <xdr:cNvSpPr/>
        </xdr:nvSpPr>
        <xdr:spPr>
          <a:xfrm>
            <a:off x="5376862" y="4014788"/>
            <a:ext cx="838201" cy="2571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69D63FD-EB02-4D75-9D4D-CD718AC1135C}" type="TxLink">
              <a:rPr lang="en-US" sz="1200" b="1">
                <a:solidFill>
                  <a:sysClr val="windowText" lastClr="000000"/>
                </a:solidFill>
              </a:rPr>
              <a:pPr algn="ctr"/>
              <a:t> ₹ 101.00 </a:t>
            </a:fld>
            <a:endParaRPr lang="en-US" sz="1200" b="1">
              <a:solidFill>
                <a:sysClr val="windowText" lastClr="000000"/>
              </a:solidFill>
            </a:endParaRPr>
          </a:p>
        </xdr:txBody>
      </xdr:sp>
      <xdr:sp macro="" textlink="$J$9">
        <xdr:nvSpPr>
          <xdr:cNvPr id="26" name="Rectangle 25"/>
          <xdr:cNvSpPr/>
        </xdr:nvSpPr>
        <xdr:spPr>
          <a:xfrm>
            <a:off x="6153149" y="4014788"/>
            <a:ext cx="838201" cy="2571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F69D63FD-EB02-4D75-9D4D-CD718AC1135C}" type="TxLink">
              <a:rPr lang="en-US" sz="1200" b="1">
                <a:solidFill>
                  <a:sysClr val="windowText" lastClr="000000"/>
                </a:solidFill>
              </a:rPr>
              <a:pPr algn="ctr"/>
              <a:t> ₹ 101.00 </a:t>
            </a:fld>
            <a:endParaRPr lang="en-US" sz="1200" b="1">
              <a:solidFill>
                <a:sysClr val="windowText" lastClr="000000"/>
              </a:solidFill>
            </a:endParaRPr>
          </a:p>
        </xdr:txBody>
      </xdr:sp>
      <xdr:sp macro="" textlink="$I$9">
        <xdr:nvSpPr>
          <xdr:cNvPr id="27" name="Rectangle 26"/>
          <xdr:cNvSpPr/>
        </xdr:nvSpPr>
        <xdr:spPr>
          <a:xfrm>
            <a:off x="3626643" y="2333625"/>
            <a:ext cx="838201" cy="2571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634F3A0-DE6F-45AC-B678-FCDA2C8FB405}" type="TxLink">
              <a:rPr lang="en-US" sz="850" b="0">
                <a:solidFill>
                  <a:sysClr val="windowText" lastClr="000000"/>
                </a:solidFill>
              </a:rPr>
              <a:pPr algn="ctr"/>
              <a:t>Auto &amp; Transport</a:t>
            </a:fld>
            <a:endParaRPr lang="en-US" sz="850" b="0">
              <a:solidFill>
                <a:sysClr val="windowText" lastClr="000000"/>
              </a:solidFill>
            </a:endParaRPr>
          </a:p>
        </xdr:txBody>
      </xdr:sp>
      <xdr:sp macro="" textlink="$I$10">
        <xdr:nvSpPr>
          <xdr:cNvPr id="28" name="Rectangle 27"/>
          <xdr:cNvSpPr/>
        </xdr:nvSpPr>
        <xdr:spPr>
          <a:xfrm>
            <a:off x="4562474" y="2333625"/>
            <a:ext cx="838201" cy="2571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D6C84746-D624-4AD2-890D-49354FD82735}" type="TxLink">
              <a:rPr lang="en-US" sz="850" b="0">
                <a:solidFill>
                  <a:sysClr val="windowText" lastClr="000000"/>
                </a:solidFill>
              </a:rPr>
              <a:pPr algn="ctr"/>
              <a:t>Bills &amp; Utilties</a:t>
            </a:fld>
            <a:endParaRPr lang="en-US" sz="850" b="0">
              <a:solidFill>
                <a:sysClr val="windowText" lastClr="000000"/>
              </a:solidFill>
            </a:endParaRPr>
          </a:p>
        </xdr:txBody>
      </xdr:sp>
      <xdr:sp macro="" textlink="$I$11">
        <xdr:nvSpPr>
          <xdr:cNvPr id="29" name="Rectangle 28"/>
          <xdr:cNvSpPr/>
        </xdr:nvSpPr>
        <xdr:spPr>
          <a:xfrm>
            <a:off x="5376862" y="2333625"/>
            <a:ext cx="838201" cy="2571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113B1FAC-7727-4A10-B899-29DF1CDEA7EA}" type="TxLink">
              <a:rPr lang="en-US" sz="850" b="0">
                <a:solidFill>
                  <a:sysClr val="windowText" lastClr="000000"/>
                </a:solidFill>
              </a:rPr>
              <a:pPr algn="ctr"/>
              <a:t>Education</a:t>
            </a:fld>
            <a:endParaRPr lang="en-US" sz="850" b="0">
              <a:solidFill>
                <a:sysClr val="windowText" lastClr="000000"/>
              </a:solidFill>
            </a:endParaRPr>
          </a:p>
        </xdr:txBody>
      </xdr:sp>
      <xdr:sp macro="" textlink="$I$12">
        <xdr:nvSpPr>
          <xdr:cNvPr id="30" name="Rectangle 29"/>
          <xdr:cNvSpPr/>
        </xdr:nvSpPr>
        <xdr:spPr>
          <a:xfrm>
            <a:off x="6153149" y="2333625"/>
            <a:ext cx="838201" cy="25717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8FBC5677-9070-4052-AE45-0307450D7E76}" type="TxLink">
              <a:rPr lang="en-US" sz="850" b="0">
                <a:solidFill>
                  <a:sysClr val="windowText" lastClr="000000"/>
                </a:solidFill>
              </a:rPr>
              <a:pPr algn="ctr"/>
              <a:t>Entertainment</a:t>
            </a:fld>
            <a:endParaRPr lang="en-US" sz="850" b="0">
              <a:solidFill>
                <a:sysClr val="windowText" lastClr="000000"/>
              </a:solidFill>
            </a:endParaRPr>
          </a:p>
        </xdr:txBody>
      </xdr:sp>
      <xdr:sp macro="" textlink="$I$13">
        <xdr:nvSpPr>
          <xdr:cNvPr id="31" name="Rectangle 30"/>
          <xdr:cNvSpPr/>
        </xdr:nvSpPr>
        <xdr:spPr>
          <a:xfrm>
            <a:off x="3626643" y="3243263"/>
            <a:ext cx="838201" cy="26670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1E8E4B59-FA02-4450-8D45-AEEA69492A94}" type="TxLink">
              <a:rPr lang="en-US" sz="850" b="0">
                <a:solidFill>
                  <a:sysClr val="windowText" lastClr="000000"/>
                </a:solidFill>
              </a:rPr>
              <a:pPr algn="ctr"/>
              <a:t>Food &amp; Drink</a:t>
            </a:fld>
            <a:endParaRPr lang="en-US" sz="850" b="0">
              <a:solidFill>
                <a:sysClr val="windowText" lastClr="000000"/>
              </a:solidFill>
            </a:endParaRPr>
          </a:p>
        </xdr:txBody>
      </xdr:sp>
      <xdr:sp macro="" textlink="$I$14">
        <xdr:nvSpPr>
          <xdr:cNvPr id="32" name="Rectangle 31"/>
          <xdr:cNvSpPr/>
        </xdr:nvSpPr>
        <xdr:spPr>
          <a:xfrm>
            <a:off x="4562474" y="3243263"/>
            <a:ext cx="838201" cy="26670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9131C5-0835-440E-A0B0-295C3CC08C8F}" type="TxLink">
              <a:rPr lang="en-US" sz="850" b="0">
                <a:solidFill>
                  <a:sysClr val="windowText" lastClr="000000"/>
                </a:solidFill>
              </a:rPr>
              <a:pPr algn="ctr"/>
              <a:t>Health &amp; Fitness</a:t>
            </a:fld>
            <a:endParaRPr lang="en-US" sz="850" b="0">
              <a:solidFill>
                <a:sysClr val="windowText" lastClr="000000"/>
              </a:solidFill>
            </a:endParaRPr>
          </a:p>
        </xdr:txBody>
      </xdr:sp>
      <xdr:sp macro="" textlink="$I$15">
        <xdr:nvSpPr>
          <xdr:cNvPr id="33" name="Rectangle 32"/>
          <xdr:cNvSpPr/>
        </xdr:nvSpPr>
        <xdr:spPr>
          <a:xfrm>
            <a:off x="5376862" y="3243263"/>
            <a:ext cx="838201" cy="26670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F8569F84-C2E1-4485-BA34-5EE9398920E3}" type="TxLink">
              <a:rPr lang="en-US" sz="850" b="0">
                <a:solidFill>
                  <a:sysClr val="windowText" lastClr="000000"/>
                </a:solidFill>
              </a:rPr>
              <a:pPr algn="ctr"/>
              <a:t>Insurance</a:t>
            </a:fld>
            <a:endParaRPr lang="en-US" sz="850" b="0">
              <a:solidFill>
                <a:sysClr val="windowText" lastClr="000000"/>
              </a:solidFill>
            </a:endParaRPr>
          </a:p>
        </xdr:txBody>
      </xdr:sp>
      <xdr:sp macro="" textlink="$I$16">
        <xdr:nvSpPr>
          <xdr:cNvPr id="34" name="Rectangle 33"/>
          <xdr:cNvSpPr/>
        </xdr:nvSpPr>
        <xdr:spPr>
          <a:xfrm>
            <a:off x="6153149" y="3243263"/>
            <a:ext cx="838201" cy="26670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23FCBCE6-6AF4-4D0A-88A5-5B0F01ABEDD8}" type="TxLink">
              <a:rPr lang="en-US" sz="850" b="0">
                <a:solidFill>
                  <a:sysClr val="windowText" lastClr="000000"/>
                </a:solidFill>
              </a:rPr>
              <a:pPr algn="ctr"/>
              <a:t>Kids &amp; Family</a:t>
            </a:fld>
            <a:endParaRPr lang="en-US" sz="850" b="0">
              <a:solidFill>
                <a:sysClr val="windowText" lastClr="000000"/>
              </a:solidFill>
            </a:endParaRPr>
          </a:p>
        </xdr:txBody>
      </xdr:sp>
      <xdr:sp macro="" textlink="$I$17">
        <xdr:nvSpPr>
          <xdr:cNvPr id="35" name="Rectangle 34"/>
          <xdr:cNvSpPr/>
        </xdr:nvSpPr>
        <xdr:spPr>
          <a:xfrm>
            <a:off x="3626643" y="4219575"/>
            <a:ext cx="838201" cy="2476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55E78F13-6597-431F-B501-0DB102D23BA4}" type="TxLink">
              <a:rPr lang="en-US" sz="850" b="0">
                <a:solidFill>
                  <a:sysClr val="windowText" lastClr="000000"/>
                </a:solidFill>
              </a:rPr>
              <a:pPr algn="ctr"/>
              <a:t>Rent/Mortgage</a:t>
            </a:fld>
            <a:endParaRPr lang="en-US" sz="850" b="0">
              <a:solidFill>
                <a:sysClr val="windowText" lastClr="000000"/>
              </a:solidFill>
            </a:endParaRPr>
          </a:p>
        </xdr:txBody>
      </xdr:sp>
      <xdr:sp macro="" textlink="$I$18">
        <xdr:nvSpPr>
          <xdr:cNvPr id="36" name="Rectangle 35"/>
          <xdr:cNvSpPr/>
        </xdr:nvSpPr>
        <xdr:spPr>
          <a:xfrm>
            <a:off x="4562474" y="4219575"/>
            <a:ext cx="838201" cy="2476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5FC0278-85A3-4D28-81F2-3A66BCED7019}" type="TxLink">
              <a:rPr lang="en-US" sz="850" b="0">
                <a:solidFill>
                  <a:sysClr val="windowText" lastClr="000000"/>
                </a:solidFill>
              </a:rPr>
              <a:pPr algn="ctr"/>
              <a:t>Shopping</a:t>
            </a:fld>
            <a:endParaRPr lang="en-US" sz="850" b="0">
              <a:solidFill>
                <a:sysClr val="windowText" lastClr="000000"/>
              </a:solidFill>
            </a:endParaRPr>
          </a:p>
        </xdr:txBody>
      </xdr:sp>
      <xdr:sp macro="" textlink="$I$19">
        <xdr:nvSpPr>
          <xdr:cNvPr id="37" name="Rectangle 36"/>
          <xdr:cNvSpPr/>
        </xdr:nvSpPr>
        <xdr:spPr>
          <a:xfrm>
            <a:off x="5376862" y="4219575"/>
            <a:ext cx="838201" cy="2476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C278D658-D078-4620-8C1C-9660BF74B8DD}" type="TxLink">
              <a:rPr lang="en-US" sz="850" b="0">
                <a:solidFill>
                  <a:sysClr val="windowText" lastClr="000000"/>
                </a:solidFill>
              </a:rPr>
              <a:pPr algn="ctr"/>
              <a:t>Travel</a:t>
            </a:fld>
            <a:endParaRPr lang="en-US" sz="850" b="0">
              <a:solidFill>
                <a:sysClr val="windowText" lastClr="000000"/>
              </a:solidFill>
            </a:endParaRPr>
          </a:p>
        </xdr:txBody>
      </xdr:sp>
      <xdr:sp macro="" textlink="$I$20">
        <xdr:nvSpPr>
          <xdr:cNvPr id="38" name="Rectangle 37"/>
          <xdr:cNvSpPr/>
        </xdr:nvSpPr>
        <xdr:spPr>
          <a:xfrm>
            <a:off x="6153149" y="4219575"/>
            <a:ext cx="838201" cy="2476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3C95D12-3E41-4E2D-B1B1-6D446D68F52E}" type="TxLink">
              <a:rPr lang="en-US" sz="850" b="0">
                <a:solidFill>
                  <a:sysClr val="windowText" lastClr="000000"/>
                </a:solidFill>
              </a:rPr>
              <a:pPr algn="ctr"/>
              <a:t>Uncategorized</a:t>
            </a:fld>
            <a:endParaRPr lang="en-US" sz="850" b="0">
              <a:solidFill>
                <a:sysClr val="windowText" lastClr="000000"/>
              </a:solidFill>
            </a:endParaRPr>
          </a:p>
        </xdr:txBody>
      </xdr:sp>
      <xdr:pic>
        <xdr:nvPicPr>
          <xdr:cNvPr id="39" name="Picture 38">
            <a:extLst>
              <a:ext uri="{FF2B5EF4-FFF2-40B4-BE49-F238E27FC236}">
                <a16:creationId xmlns:a16="http://schemas.microsoft.com/office/drawing/2014/main" xmlns="" id="{00000000-0008-0000-0000-00005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541927" y="3590925"/>
            <a:ext cx="508071" cy="532575"/>
          </a:xfrm>
          <a:prstGeom prst="rect">
            <a:avLst/>
          </a:prstGeom>
        </xdr:spPr>
      </xdr:pic>
      <xdr:pic>
        <xdr:nvPicPr>
          <xdr:cNvPr id="40" name="Picture 39">
            <a:extLst>
              <a:ext uri="{FF2B5EF4-FFF2-40B4-BE49-F238E27FC236}">
                <a16:creationId xmlns:a16="http://schemas.microsoft.com/office/drawing/2014/main" xmlns="" id="{00000000-0008-0000-00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06498" y="3600450"/>
            <a:ext cx="531503" cy="381530"/>
          </a:xfrm>
          <a:prstGeom prst="rect">
            <a:avLst/>
          </a:prstGeom>
        </xdr:spPr>
      </xdr:pic>
      <xdr:pic>
        <xdr:nvPicPr>
          <xdr:cNvPr id="41" name="Picture 40">
            <a:extLst>
              <a:ext uri="{FF2B5EF4-FFF2-40B4-BE49-F238E27FC236}">
                <a16:creationId xmlns:a16="http://schemas.microsoft.com/office/drawing/2014/main" xmlns="" id="{00000000-0008-0000-0000-00005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27539" y="3505200"/>
            <a:ext cx="508071" cy="52305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133351</xdr:rowOff>
    </xdr:from>
    <xdr:to>
      <xdr:col>6</xdr:col>
      <xdr:colOff>504825</xdr:colOff>
      <xdr:row>28</xdr:row>
      <xdr:rowOff>76200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9525</xdr:colOff>
      <xdr:row>2</xdr:row>
      <xdr:rowOff>66675</xdr:rowOff>
    </xdr:from>
    <xdr:to>
      <xdr:col>5</xdr:col>
      <xdr:colOff>123825</xdr:colOff>
      <xdr:row>4</xdr:row>
      <xdr:rowOff>85725</xdr:rowOff>
    </xdr:to>
    <xdr:sp macro="" textlink="">
      <xdr:nvSpPr>
        <xdr:cNvPr id="43" name="Rectangle 42"/>
        <xdr:cNvSpPr/>
      </xdr:nvSpPr>
      <xdr:spPr>
        <a:xfrm>
          <a:off x="619125" y="590550"/>
          <a:ext cx="3086100" cy="400050"/>
        </a:xfrm>
        <a:prstGeom prst="rect">
          <a:avLst/>
        </a:prstGeom>
        <a:noFill/>
        <a:ln w="317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>
              <a:solidFill>
                <a:sysClr val="windowText" lastClr="000000"/>
              </a:solidFill>
            </a:rPr>
            <a:t>Spending</a:t>
          </a:r>
          <a:r>
            <a:rPr lang="en-US" sz="2000" b="1" baseline="0">
              <a:solidFill>
                <a:sysClr val="windowText" lastClr="000000"/>
              </a:solidFill>
            </a:rPr>
            <a:t> By Category</a:t>
          </a:r>
          <a:endParaRPr lang="en-US" sz="20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161925</xdr:colOff>
      <xdr:row>2</xdr:row>
      <xdr:rowOff>57150</xdr:rowOff>
    </xdr:from>
    <xdr:to>
      <xdr:col>7</xdr:col>
      <xdr:colOff>2638425</xdr:colOff>
      <xdr:row>4</xdr:row>
      <xdr:rowOff>76200</xdr:rowOff>
    </xdr:to>
    <xdr:sp macro="" textlink="">
      <xdr:nvSpPr>
        <xdr:cNvPr id="44" name="Rectangle 43"/>
        <xdr:cNvSpPr/>
      </xdr:nvSpPr>
      <xdr:spPr>
        <a:xfrm>
          <a:off x="4352925" y="581025"/>
          <a:ext cx="3086100" cy="400050"/>
        </a:xfrm>
        <a:prstGeom prst="rect">
          <a:avLst/>
        </a:prstGeom>
        <a:noFill/>
        <a:ln w="317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>
              <a:solidFill>
                <a:sysClr val="windowText" lastClr="000000"/>
              </a:solidFill>
            </a:rPr>
            <a:t>Spending</a:t>
          </a:r>
          <a:r>
            <a:rPr lang="en-US" sz="2000" b="1" baseline="0">
              <a:solidFill>
                <a:sysClr val="windowText" lastClr="000000"/>
              </a:solidFill>
            </a:rPr>
            <a:t> By Category</a:t>
          </a:r>
          <a:endParaRPr lang="en-US" sz="20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152400</xdr:colOff>
      <xdr:row>2</xdr:row>
      <xdr:rowOff>28576</xdr:rowOff>
    </xdr:from>
    <xdr:to>
      <xdr:col>7</xdr:col>
      <xdr:colOff>3324226</xdr:colOff>
      <xdr:row>10</xdr:row>
      <xdr:rowOff>161926</xdr:rowOff>
    </xdr:to>
    <xdr:grpSp>
      <xdr:nvGrpSpPr>
        <xdr:cNvPr id="51" name="Group 50"/>
        <xdr:cNvGrpSpPr/>
      </xdr:nvGrpSpPr>
      <xdr:grpSpPr>
        <a:xfrm>
          <a:off x="4343400" y="552451"/>
          <a:ext cx="3781426" cy="1676400"/>
          <a:chOff x="4343400" y="552451"/>
          <a:chExt cx="3781426" cy="1676400"/>
        </a:xfrm>
      </xdr:grpSpPr>
      <xdr:graphicFrame macro="">
        <xdr:nvGraphicFramePr>
          <xdr:cNvPr id="45" name="Chart 44"/>
          <xdr:cNvGraphicFramePr/>
        </xdr:nvGraphicFramePr>
        <xdr:xfrm>
          <a:off x="4343400" y="552451"/>
          <a:ext cx="3400425" cy="1676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pSp>
        <xdr:nvGrpSpPr>
          <xdr:cNvPr id="50" name="Group 49"/>
          <xdr:cNvGrpSpPr/>
        </xdr:nvGrpSpPr>
        <xdr:grpSpPr>
          <a:xfrm>
            <a:off x="7219950" y="1152525"/>
            <a:ext cx="904876" cy="314324"/>
            <a:chOff x="7886701" y="809625"/>
            <a:chExt cx="952500" cy="457200"/>
          </a:xfrm>
        </xdr:grpSpPr>
        <xdr:sp macro="" textlink="">
          <xdr:nvSpPr>
            <xdr:cNvPr id="48" name="Rectangle 47"/>
            <xdr:cNvSpPr/>
          </xdr:nvSpPr>
          <xdr:spPr>
            <a:xfrm>
              <a:off x="7886701" y="809625"/>
              <a:ext cx="952500" cy="3143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r>
                <a:rPr lang="en-US" b="1">
                  <a:solidFill>
                    <a:sysClr val="windowText" lastClr="000000"/>
                  </a:solidFill>
                </a:rPr>
                <a:t> ₹ 48,759.00 </a:t>
              </a:r>
            </a:p>
          </xdr:txBody>
        </xdr:sp>
        <xdr:sp macro="" textlink="">
          <xdr:nvSpPr>
            <xdr:cNvPr id="49" name="Rectangle 48"/>
            <xdr:cNvSpPr/>
          </xdr:nvSpPr>
          <xdr:spPr>
            <a:xfrm>
              <a:off x="8086725" y="990600"/>
              <a:ext cx="542926" cy="27622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b="1">
                  <a:solidFill>
                    <a:sysClr val="windowText" lastClr="000000"/>
                  </a:solidFill>
                </a:rPr>
                <a:t>*Left</a:t>
              </a:r>
            </a:p>
          </xdr:txBody>
        </xdr:sp>
      </xdr:grpSp>
    </xdr:grpSp>
    <xdr:clientData/>
  </xdr:twoCellAnchor>
  <xdr:twoCellAnchor>
    <xdr:from>
      <xdr:col>8</xdr:col>
      <xdr:colOff>361951</xdr:colOff>
      <xdr:row>5</xdr:row>
      <xdr:rowOff>104775</xdr:rowOff>
    </xdr:from>
    <xdr:to>
      <xdr:col>9</xdr:col>
      <xdr:colOff>419101</xdr:colOff>
      <xdr:row>7</xdr:row>
      <xdr:rowOff>9525</xdr:rowOff>
    </xdr:to>
    <xdr:sp macro="[0]!AddExpense" textlink="">
      <xdr:nvSpPr>
        <xdr:cNvPr id="53" name="Rounded Rectangle 52"/>
        <xdr:cNvSpPr/>
      </xdr:nvSpPr>
      <xdr:spPr>
        <a:xfrm>
          <a:off x="8534401" y="1200150"/>
          <a:ext cx="1371600" cy="285750"/>
        </a:xfrm>
        <a:prstGeom prst="roundRect">
          <a:avLst/>
        </a:prstGeom>
        <a:ln w="9525"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+</a:t>
          </a:r>
          <a:r>
            <a:rPr lang="en-US" sz="1400" b="1" baseline="0"/>
            <a:t> Add Expense</a:t>
          </a:r>
          <a:endParaRPr lang="en-US" sz="1100" b="1"/>
        </a:p>
      </xdr:txBody>
    </xdr:sp>
    <xdr:clientData/>
  </xdr:twoCellAnchor>
  <xdr:twoCellAnchor>
    <xdr:from>
      <xdr:col>1</xdr:col>
      <xdr:colOff>461491</xdr:colOff>
      <xdr:row>1</xdr:row>
      <xdr:rowOff>51168</xdr:rowOff>
    </xdr:from>
    <xdr:to>
      <xdr:col>1</xdr:col>
      <xdr:colOff>569491</xdr:colOff>
      <xdr:row>1</xdr:row>
      <xdr:rowOff>159168</xdr:rowOff>
    </xdr:to>
    <xdr:sp macro="[0]!ShowHideYearselection" textlink="">
      <xdr:nvSpPr>
        <xdr:cNvPr id="54" name="Half Frame 53"/>
        <xdr:cNvSpPr/>
      </xdr:nvSpPr>
      <xdr:spPr>
        <a:xfrm rot="13721849">
          <a:off x="1071091" y="375018"/>
          <a:ext cx="108000" cy="108000"/>
        </a:xfrm>
        <a:prstGeom prst="halfFrame">
          <a:avLst>
            <a:gd name="adj1" fmla="val 17054"/>
            <a:gd name="adj2" fmla="val 19379"/>
          </a:avLst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842488</xdr:colOff>
      <xdr:row>1</xdr:row>
      <xdr:rowOff>60694</xdr:rowOff>
    </xdr:from>
    <xdr:to>
      <xdr:col>4</xdr:col>
      <xdr:colOff>950488</xdr:colOff>
      <xdr:row>1</xdr:row>
      <xdr:rowOff>168694</xdr:rowOff>
    </xdr:to>
    <xdr:sp macro="[0]!ShowHideMonthselection" textlink="">
      <xdr:nvSpPr>
        <xdr:cNvPr id="56" name="Half Frame 55"/>
        <xdr:cNvSpPr/>
      </xdr:nvSpPr>
      <xdr:spPr>
        <a:xfrm rot="13721849">
          <a:off x="3299938" y="384544"/>
          <a:ext cx="108000" cy="108000"/>
        </a:xfrm>
        <a:prstGeom prst="halfFrame">
          <a:avLst>
            <a:gd name="adj1" fmla="val 17054"/>
            <a:gd name="adj2" fmla="val 19379"/>
          </a:avLst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537475</xdr:colOff>
      <xdr:row>2</xdr:row>
      <xdr:rowOff>0</xdr:rowOff>
    </xdr:from>
    <xdr:to>
      <xdr:col>1</xdr:col>
      <xdr:colOff>575875</xdr:colOff>
      <xdr:row>5</xdr:row>
      <xdr:rowOff>175800</xdr:rowOff>
    </xdr:to>
    <xdr:grpSp>
      <xdr:nvGrpSpPr>
        <xdr:cNvPr id="60" name="Yearsgrp" hidden="1"/>
        <xdr:cNvGrpSpPr/>
      </xdr:nvGrpSpPr>
      <xdr:grpSpPr>
        <a:xfrm>
          <a:off x="537475" y="523875"/>
          <a:ext cx="648000" cy="747300"/>
          <a:chOff x="514350" y="533400"/>
          <a:chExt cx="540000" cy="747300"/>
        </a:xfrm>
      </xdr:grpSpPr>
      <xdr:sp macro="[0]!Year_Select" textlink="">
        <xdr:nvSpPr>
          <xdr:cNvPr id="57" name="2020" hidden="1"/>
          <xdr:cNvSpPr/>
        </xdr:nvSpPr>
        <xdr:spPr>
          <a:xfrm>
            <a:off x="514350" y="533400"/>
            <a:ext cx="540000" cy="252000"/>
          </a:xfrm>
          <a:prstGeom prst="rect">
            <a:avLst/>
          </a:prstGeom>
          <a:solidFill>
            <a:srgbClr val="00B050">
              <a:alpha val="94118"/>
            </a:srgbClr>
          </a:solidFill>
          <a:ln w="9525">
            <a:solidFill>
              <a:srgbClr val="71893F">
                <a:alpha val="50980"/>
              </a:srgb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200" b="1"/>
              <a:t>2020</a:t>
            </a:r>
            <a:endParaRPr lang="en-US" sz="1100" b="1"/>
          </a:p>
        </xdr:txBody>
      </xdr:sp>
      <xdr:sp macro="[0]!Year_Select" textlink="">
        <xdr:nvSpPr>
          <xdr:cNvPr id="58" name="2021" hidden="1"/>
          <xdr:cNvSpPr/>
        </xdr:nvSpPr>
        <xdr:spPr>
          <a:xfrm>
            <a:off x="514350" y="781050"/>
            <a:ext cx="540000" cy="252000"/>
          </a:xfrm>
          <a:prstGeom prst="rect">
            <a:avLst/>
          </a:prstGeom>
          <a:solidFill>
            <a:srgbClr val="00B050">
              <a:alpha val="94118"/>
            </a:srgbClr>
          </a:solidFill>
          <a:ln w="9525">
            <a:solidFill>
              <a:srgbClr val="71893F">
                <a:alpha val="50980"/>
              </a:srgb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200" b="1"/>
              <a:t>2021</a:t>
            </a:r>
            <a:endParaRPr lang="en-US" sz="1100" b="1"/>
          </a:p>
        </xdr:txBody>
      </xdr:sp>
      <xdr:sp macro="[0]!Year_Select" textlink="">
        <xdr:nvSpPr>
          <xdr:cNvPr id="59" name="2022" hidden="1"/>
          <xdr:cNvSpPr/>
        </xdr:nvSpPr>
        <xdr:spPr>
          <a:xfrm>
            <a:off x="514350" y="1028700"/>
            <a:ext cx="540000" cy="252000"/>
          </a:xfrm>
          <a:prstGeom prst="rect">
            <a:avLst/>
          </a:prstGeom>
          <a:solidFill>
            <a:srgbClr val="00B050">
              <a:alpha val="94118"/>
            </a:srgbClr>
          </a:solidFill>
          <a:ln w="9525">
            <a:solidFill>
              <a:srgbClr val="71893F">
                <a:alpha val="50980"/>
              </a:srgb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200" b="1"/>
              <a:t>2022</a:t>
            </a:r>
            <a:endParaRPr lang="en-US" sz="1100" b="1"/>
          </a:p>
        </xdr:txBody>
      </xdr:sp>
    </xdr:grpSp>
    <xdr:clientData/>
  </xdr:twoCellAnchor>
  <xdr:twoCellAnchor>
    <xdr:from>
      <xdr:col>3</xdr:col>
      <xdr:colOff>563797</xdr:colOff>
      <xdr:row>2</xdr:row>
      <xdr:rowOff>0</xdr:rowOff>
    </xdr:from>
    <xdr:to>
      <xdr:col>4</xdr:col>
      <xdr:colOff>962197</xdr:colOff>
      <xdr:row>17</xdr:row>
      <xdr:rowOff>32925</xdr:rowOff>
    </xdr:to>
    <xdr:grpSp>
      <xdr:nvGrpSpPr>
        <xdr:cNvPr id="78" name="Monthsgrp" hidden="1"/>
        <xdr:cNvGrpSpPr/>
      </xdr:nvGrpSpPr>
      <xdr:grpSpPr>
        <a:xfrm>
          <a:off x="2411647" y="523875"/>
          <a:ext cx="1008000" cy="2976150"/>
          <a:chOff x="2381250" y="523875"/>
          <a:chExt cx="828000" cy="2976150"/>
        </a:xfrm>
      </xdr:grpSpPr>
      <xdr:sp macro="[0]!Month_Select" textlink="">
        <xdr:nvSpPr>
          <xdr:cNvPr id="62" name="January" hidden="1"/>
          <xdr:cNvSpPr/>
        </xdr:nvSpPr>
        <xdr:spPr>
          <a:xfrm>
            <a:off x="2381250" y="523875"/>
            <a:ext cx="828000" cy="252000"/>
          </a:xfrm>
          <a:prstGeom prst="rect">
            <a:avLst/>
          </a:prstGeom>
          <a:solidFill>
            <a:srgbClr val="00B050">
              <a:alpha val="94118"/>
            </a:srgbClr>
          </a:solidFill>
          <a:ln w="9525">
            <a:solidFill>
              <a:srgbClr val="71893F">
                <a:alpha val="50980"/>
              </a:srgb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200" b="1"/>
              <a:t>January</a:t>
            </a:r>
            <a:endParaRPr lang="en-US" sz="1100" b="1"/>
          </a:p>
        </xdr:txBody>
      </xdr:sp>
      <xdr:sp macro="[0]!Month_Select" textlink="">
        <xdr:nvSpPr>
          <xdr:cNvPr id="63" name="February" hidden="1"/>
          <xdr:cNvSpPr/>
        </xdr:nvSpPr>
        <xdr:spPr>
          <a:xfrm>
            <a:off x="2381250" y="771525"/>
            <a:ext cx="828000" cy="252000"/>
          </a:xfrm>
          <a:prstGeom prst="rect">
            <a:avLst/>
          </a:prstGeom>
          <a:solidFill>
            <a:srgbClr val="00B050">
              <a:alpha val="94118"/>
            </a:srgbClr>
          </a:solidFill>
          <a:ln w="9525">
            <a:solidFill>
              <a:srgbClr val="71893F">
                <a:alpha val="50980"/>
              </a:srgb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200" b="1"/>
              <a:t>February</a:t>
            </a:r>
            <a:endParaRPr lang="en-US" sz="1100" b="1"/>
          </a:p>
        </xdr:txBody>
      </xdr:sp>
      <xdr:sp macro="[0]!Month_Select" textlink="">
        <xdr:nvSpPr>
          <xdr:cNvPr id="64" name="March" hidden="1"/>
          <xdr:cNvSpPr/>
        </xdr:nvSpPr>
        <xdr:spPr>
          <a:xfrm>
            <a:off x="2381250" y="1019175"/>
            <a:ext cx="828000" cy="252000"/>
          </a:xfrm>
          <a:prstGeom prst="rect">
            <a:avLst/>
          </a:prstGeom>
          <a:solidFill>
            <a:srgbClr val="00B050">
              <a:alpha val="94118"/>
            </a:srgbClr>
          </a:solidFill>
          <a:ln w="9525">
            <a:solidFill>
              <a:srgbClr val="71893F">
                <a:alpha val="50980"/>
              </a:srgb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100" b="1"/>
              <a:t>March</a:t>
            </a:r>
          </a:p>
        </xdr:txBody>
      </xdr:sp>
      <xdr:sp macro="[0]!Month_Select" textlink="">
        <xdr:nvSpPr>
          <xdr:cNvPr id="65" name="April" hidden="1"/>
          <xdr:cNvSpPr/>
        </xdr:nvSpPr>
        <xdr:spPr>
          <a:xfrm>
            <a:off x="2381250" y="1266825"/>
            <a:ext cx="828000" cy="252000"/>
          </a:xfrm>
          <a:prstGeom prst="rect">
            <a:avLst/>
          </a:prstGeom>
          <a:solidFill>
            <a:srgbClr val="00B050">
              <a:alpha val="94118"/>
            </a:srgbClr>
          </a:solidFill>
          <a:ln w="9525">
            <a:solidFill>
              <a:srgbClr val="71893F">
                <a:alpha val="50980"/>
              </a:srgb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200" b="1"/>
              <a:t>April</a:t>
            </a:r>
            <a:endParaRPr lang="en-US" sz="1100" b="1"/>
          </a:p>
        </xdr:txBody>
      </xdr:sp>
      <xdr:sp macro="[0]!Month_Select" textlink="">
        <xdr:nvSpPr>
          <xdr:cNvPr id="66" name="May" hidden="1"/>
          <xdr:cNvSpPr/>
        </xdr:nvSpPr>
        <xdr:spPr>
          <a:xfrm>
            <a:off x="2381250" y="1514475"/>
            <a:ext cx="828000" cy="252000"/>
          </a:xfrm>
          <a:prstGeom prst="rect">
            <a:avLst/>
          </a:prstGeom>
          <a:solidFill>
            <a:srgbClr val="00B050">
              <a:alpha val="94118"/>
            </a:srgbClr>
          </a:solidFill>
          <a:ln w="9525">
            <a:solidFill>
              <a:srgbClr val="71893F">
                <a:alpha val="50980"/>
              </a:srgb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100" b="1"/>
              <a:t>May</a:t>
            </a:r>
          </a:p>
        </xdr:txBody>
      </xdr:sp>
      <xdr:sp macro="[0]!Month_Select" textlink="">
        <xdr:nvSpPr>
          <xdr:cNvPr id="67" name="June" hidden="1"/>
          <xdr:cNvSpPr/>
        </xdr:nvSpPr>
        <xdr:spPr>
          <a:xfrm>
            <a:off x="2381250" y="1762125"/>
            <a:ext cx="828000" cy="252000"/>
          </a:xfrm>
          <a:prstGeom prst="rect">
            <a:avLst/>
          </a:prstGeom>
          <a:solidFill>
            <a:srgbClr val="00B050">
              <a:alpha val="94118"/>
            </a:srgbClr>
          </a:solidFill>
          <a:ln w="9525">
            <a:solidFill>
              <a:srgbClr val="71893F">
                <a:alpha val="50980"/>
              </a:srgb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100" b="1"/>
              <a:t>June</a:t>
            </a:r>
          </a:p>
        </xdr:txBody>
      </xdr:sp>
      <xdr:sp macro="[0]!Month_Select" textlink="">
        <xdr:nvSpPr>
          <xdr:cNvPr id="68" name="July" hidden="1"/>
          <xdr:cNvSpPr/>
        </xdr:nvSpPr>
        <xdr:spPr>
          <a:xfrm>
            <a:off x="2381250" y="2009775"/>
            <a:ext cx="828000" cy="252000"/>
          </a:xfrm>
          <a:prstGeom prst="rect">
            <a:avLst/>
          </a:prstGeom>
          <a:solidFill>
            <a:srgbClr val="00B050">
              <a:alpha val="94118"/>
            </a:srgbClr>
          </a:solidFill>
          <a:ln w="9525">
            <a:solidFill>
              <a:srgbClr val="71893F">
                <a:alpha val="50980"/>
              </a:srgb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100" b="1"/>
              <a:t>July</a:t>
            </a:r>
          </a:p>
        </xdr:txBody>
      </xdr:sp>
      <xdr:sp macro="[0]!Month_Select" textlink="">
        <xdr:nvSpPr>
          <xdr:cNvPr id="69" name="August" hidden="1"/>
          <xdr:cNvSpPr/>
        </xdr:nvSpPr>
        <xdr:spPr>
          <a:xfrm>
            <a:off x="2381250" y="2257425"/>
            <a:ext cx="828000" cy="252000"/>
          </a:xfrm>
          <a:prstGeom prst="rect">
            <a:avLst/>
          </a:prstGeom>
          <a:solidFill>
            <a:srgbClr val="00B050">
              <a:alpha val="94118"/>
            </a:srgbClr>
          </a:solidFill>
          <a:ln w="9525">
            <a:solidFill>
              <a:srgbClr val="71893F">
                <a:alpha val="50980"/>
              </a:srgb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100" b="1"/>
              <a:t>August</a:t>
            </a:r>
          </a:p>
        </xdr:txBody>
      </xdr:sp>
      <xdr:sp macro="[0]!Month_Select" textlink="">
        <xdr:nvSpPr>
          <xdr:cNvPr id="70" name="September" hidden="1"/>
          <xdr:cNvSpPr/>
        </xdr:nvSpPr>
        <xdr:spPr>
          <a:xfrm>
            <a:off x="2381250" y="2505075"/>
            <a:ext cx="828000" cy="252000"/>
          </a:xfrm>
          <a:prstGeom prst="rect">
            <a:avLst/>
          </a:prstGeom>
          <a:solidFill>
            <a:srgbClr val="00B050">
              <a:alpha val="94118"/>
            </a:srgbClr>
          </a:solidFill>
          <a:ln w="9525">
            <a:solidFill>
              <a:srgbClr val="71893F">
                <a:alpha val="50980"/>
              </a:srgb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100" b="1"/>
              <a:t>September</a:t>
            </a:r>
          </a:p>
        </xdr:txBody>
      </xdr:sp>
      <xdr:sp macro="[0]!Month_Select" textlink="">
        <xdr:nvSpPr>
          <xdr:cNvPr id="72" name="October" hidden="1"/>
          <xdr:cNvSpPr/>
        </xdr:nvSpPr>
        <xdr:spPr>
          <a:xfrm>
            <a:off x="2381250" y="2752725"/>
            <a:ext cx="828000" cy="252000"/>
          </a:xfrm>
          <a:prstGeom prst="rect">
            <a:avLst/>
          </a:prstGeom>
          <a:solidFill>
            <a:srgbClr val="00B050">
              <a:alpha val="94118"/>
            </a:srgbClr>
          </a:solidFill>
          <a:ln w="9525">
            <a:solidFill>
              <a:srgbClr val="71893F">
                <a:alpha val="50980"/>
              </a:srgb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100" b="1"/>
              <a:t>October</a:t>
            </a:r>
          </a:p>
        </xdr:txBody>
      </xdr:sp>
      <xdr:sp macro="[0]!Month_Select" textlink="">
        <xdr:nvSpPr>
          <xdr:cNvPr id="73" name="November" hidden="1"/>
          <xdr:cNvSpPr/>
        </xdr:nvSpPr>
        <xdr:spPr>
          <a:xfrm>
            <a:off x="2381250" y="3000375"/>
            <a:ext cx="828000" cy="252000"/>
          </a:xfrm>
          <a:prstGeom prst="rect">
            <a:avLst/>
          </a:prstGeom>
          <a:solidFill>
            <a:srgbClr val="00B050">
              <a:alpha val="94118"/>
            </a:srgbClr>
          </a:solidFill>
          <a:ln w="9525">
            <a:solidFill>
              <a:srgbClr val="71893F">
                <a:alpha val="50980"/>
              </a:srgb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100" b="1"/>
              <a:t>November</a:t>
            </a:r>
          </a:p>
        </xdr:txBody>
      </xdr:sp>
      <xdr:sp macro="[0]!Month_Select" textlink="">
        <xdr:nvSpPr>
          <xdr:cNvPr id="74" name="December" hidden="1"/>
          <xdr:cNvSpPr/>
        </xdr:nvSpPr>
        <xdr:spPr>
          <a:xfrm>
            <a:off x="2381250" y="3248025"/>
            <a:ext cx="828000" cy="252000"/>
          </a:xfrm>
          <a:prstGeom prst="rect">
            <a:avLst/>
          </a:prstGeom>
          <a:solidFill>
            <a:srgbClr val="00B050">
              <a:alpha val="94118"/>
            </a:srgbClr>
          </a:solidFill>
          <a:ln w="9525">
            <a:solidFill>
              <a:srgbClr val="71893F">
                <a:alpha val="50980"/>
              </a:srgb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100" b="1"/>
              <a:t>December</a:t>
            </a: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name="date_number_50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4"/>
  <sheetViews>
    <sheetView showGridLines="0" tabSelected="1" workbookViewId="0">
      <selection activeCell="D2" sqref="D2"/>
    </sheetView>
  </sheetViews>
  <sheetFormatPr defaultRowHeight="15" x14ac:dyDescent="0.25"/>
  <cols>
    <col min="2" max="2" width="9.42578125" bestFit="1" customWidth="1"/>
    <col min="5" max="5" width="16.85546875" customWidth="1"/>
    <col min="8" max="8" width="50.5703125" customWidth="1"/>
    <col min="9" max="9" width="19.7109375" customWidth="1"/>
    <col min="10" max="10" width="11.28515625" customWidth="1"/>
    <col min="11" max="11" width="6" hidden="1" customWidth="1"/>
    <col min="12" max="12" width="2.42578125" customWidth="1"/>
    <col min="13" max="15" width="1.5703125" customWidth="1"/>
    <col min="16" max="16" width="16.140625" bestFit="1" customWidth="1"/>
    <col min="18" max="18" width="10.85546875" bestFit="1" customWidth="1"/>
  </cols>
  <sheetData>
    <row r="1" spans="1:22" ht="25.5" x14ac:dyDescent="0.35">
      <c r="A1" s="12" t="s">
        <v>0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  <c r="V1" s="12"/>
    </row>
    <row r="2" spans="1:22" ht="15.75" x14ac:dyDescent="0.25">
      <c r="A2" s="24" t="s">
        <v>38</v>
      </c>
      <c r="B2" s="22">
        <v>2020</v>
      </c>
      <c r="C2" s="5"/>
      <c r="D2" s="24" t="s">
        <v>37</v>
      </c>
      <c r="E2" s="4" t="s">
        <v>1</v>
      </c>
      <c r="F2" s="5"/>
      <c r="G2" s="5"/>
      <c r="H2" s="3" t="s">
        <v>2</v>
      </c>
      <c r="I2" s="6">
        <v>50000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</row>
    <row r="3" spans="1:22" x14ac:dyDescent="0.25">
      <c r="B3" s="2"/>
    </row>
    <row r="7" spans="1:22" x14ac:dyDescent="0.25">
      <c r="P7" s="11" t="s">
        <v>31</v>
      </c>
      <c r="Q7" s="9">
        <f>IFERROR(MATCH(E2,Months,0),"")</f>
        <v>1</v>
      </c>
    </row>
    <row r="8" spans="1:22" x14ac:dyDescent="0.25">
      <c r="P8" s="13" t="s">
        <v>30</v>
      </c>
      <c r="Q8" s="13"/>
      <c r="R8" s="10" t="s">
        <v>29</v>
      </c>
    </row>
    <row r="9" spans="1:22" ht="15.75" thickBot="1" x14ac:dyDescent="0.3">
      <c r="I9" s="14" t="s">
        <v>3</v>
      </c>
      <c r="J9" s="15">
        <f ca="1">SUMIFS(ExpenseAmount,ExpenseDate,"&gt;="&amp;DATE(SelYear,SelMonth,1),ExpenseDate,"&lt;="&amp;EOMONTH(DATE(SelYear,SelMonth,1),0),ExpenseCategory,I9)</f>
        <v>101</v>
      </c>
      <c r="P9" s="9" t="s">
        <v>3</v>
      </c>
      <c r="Q9" s="23">
        <f ca="1">IF(SUMIFS(ExpenseAmount,ExpenseDate,"&gt;="&amp;DATE(SelYear,SelMonth,1),ExpenseDate,"&lt;="&amp;EOMONTH(DATE(SelYear,SelMonth,1),0),ExpenseCategory,I9)=0,NA(),SUMIFS(ExpenseAmount,ExpenseDate,"&gt;="&amp;DATE(SelYear,SelMonth,1),ExpenseDate,"&lt;="&amp;EOMONTH(DATE(SelYear,SelMonth,1),0),ExpenseCategory,I9))</f>
        <v>101</v>
      </c>
      <c r="R9" s="9" t="s">
        <v>1</v>
      </c>
    </row>
    <row r="10" spans="1:22" ht="15.75" thickBot="1" x14ac:dyDescent="0.3">
      <c r="I10" s="16" t="s">
        <v>33</v>
      </c>
      <c r="J10" s="17">
        <f ca="1">SUMIFS(ExpenseAmount,ExpenseDate,"&gt;="&amp;DATE(SelYear,SelMonth,1),ExpenseDate,"&lt;="&amp;EOMONTH(DATE(SelYear,SelMonth,1),0),ExpenseCategory,I10)</f>
        <v>85</v>
      </c>
      <c r="P10" s="9" t="s">
        <v>4</v>
      </c>
      <c r="Q10" s="23">
        <f ca="1">IF(SUMIFS(ExpenseAmount,ExpenseDate,"&gt;="&amp;DATE(SelYear,SelMonth,1),ExpenseDate,"&lt;="&amp;EOMONTH(DATE(SelYear,SelMonth,1),0),ExpenseCategory,I10)=0,NA(),SUMIFS(ExpenseAmount,ExpenseDate,"&gt;="&amp;DATE(SelYear,SelMonth,1),ExpenseDate,"&lt;="&amp;EOMONTH(DATE(SelYear,SelMonth,1),0),ExpenseCategory,I10))</f>
        <v>85</v>
      </c>
      <c r="R10" s="9" t="s">
        <v>18</v>
      </c>
    </row>
    <row r="11" spans="1:22" ht="15.75" thickBot="1" x14ac:dyDescent="0.3">
      <c r="I11" s="16" t="s">
        <v>34</v>
      </c>
      <c r="J11" s="17">
        <f ca="1">SUMIFS(ExpenseAmount,ExpenseDate,"&gt;="&amp;DATE(SelYear,SelMonth,1),ExpenseDate,"&lt;="&amp;EOMONTH(DATE(SelYear,SelMonth,1),0),ExpenseCategory,I11)</f>
        <v>124</v>
      </c>
      <c r="P11" s="9" t="s">
        <v>5</v>
      </c>
      <c r="Q11" s="23">
        <f ca="1">IF(SUMIFS(ExpenseAmount,ExpenseDate,"&gt;="&amp;DATE(SelYear,SelMonth,1),ExpenseDate,"&lt;="&amp;EOMONTH(DATE(SelYear,SelMonth,1),0),ExpenseCategory,I11)=0,NA(),SUMIFS(ExpenseAmount,ExpenseDate,"&gt;="&amp;DATE(SelYear,SelMonth,1),ExpenseDate,"&lt;="&amp;EOMONTH(DATE(SelYear,SelMonth,1),0),ExpenseCategory,I11))</f>
        <v>124</v>
      </c>
      <c r="R11" s="9" t="s">
        <v>19</v>
      </c>
    </row>
    <row r="12" spans="1:22" ht="15.75" thickBot="1" x14ac:dyDescent="0.3">
      <c r="I12" s="16" t="s">
        <v>6</v>
      </c>
      <c r="J12" s="17">
        <f ca="1">SUMIFS(ExpenseAmount,ExpenseDate,"&gt;="&amp;DATE(SelYear,SelMonth,1),ExpenseDate,"&lt;="&amp;EOMONTH(DATE(SelYear,SelMonth,1),0),ExpenseCategory,I12)</f>
        <v>75</v>
      </c>
      <c r="P12" s="9" t="s">
        <v>6</v>
      </c>
      <c r="Q12" s="23">
        <f ca="1">IF(SUMIFS(ExpenseAmount,ExpenseDate,"&gt;="&amp;DATE(SelYear,SelMonth,1),ExpenseDate,"&lt;="&amp;EOMONTH(DATE(SelYear,SelMonth,1),0),ExpenseCategory,I12)=0,NA(),SUMIFS(ExpenseAmount,ExpenseDate,"&gt;="&amp;DATE(SelYear,SelMonth,1),ExpenseDate,"&lt;="&amp;EOMONTH(DATE(SelYear,SelMonth,1),0),ExpenseCategory,I12))</f>
        <v>75</v>
      </c>
      <c r="R12" s="9" t="s">
        <v>20</v>
      </c>
    </row>
    <row r="13" spans="1:22" ht="15.75" thickBot="1" x14ac:dyDescent="0.3">
      <c r="I13" s="16" t="s">
        <v>7</v>
      </c>
      <c r="J13" s="17">
        <f ca="1">SUMIFS(ExpenseAmount,ExpenseDate,"&gt;="&amp;DATE(SelYear,SelMonth,1),ExpenseDate,"&lt;="&amp;EOMONTH(DATE(SelYear,SelMonth,1),0),ExpenseCategory,I13)</f>
        <v>162</v>
      </c>
      <c r="P13" s="9" t="s">
        <v>7</v>
      </c>
      <c r="Q13" s="23">
        <f ca="1">IF(SUMIFS(ExpenseAmount,ExpenseDate,"&gt;="&amp;DATE(SelYear,SelMonth,1),ExpenseDate,"&lt;="&amp;EOMONTH(DATE(SelYear,SelMonth,1),0),ExpenseCategory,I13)=0,NA(),SUMIFS(ExpenseAmount,ExpenseDate,"&gt;="&amp;DATE(SelYear,SelMonth,1),ExpenseDate,"&lt;="&amp;EOMONTH(DATE(SelYear,SelMonth,1),0),ExpenseCategory,I13))</f>
        <v>162</v>
      </c>
      <c r="R13" s="9" t="s">
        <v>21</v>
      </c>
    </row>
    <row r="14" spans="1:22" ht="15.75" thickBot="1" x14ac:dyDescent="0.3">
      <c r="I14" s="16" t="s">
        <v>8</v>
      </c>
      <c r="J14" s="17">
        <f ca="1">SUMIFS(ExpenseAmount,ExpenseDate,"&gt;="&amp;DATE(SelYear,SelMonth,1),ExpenseDate,"&lt;="&amp;EOMONTH(DATE(SelYear,SelMonth,1),0),ExpenseCategory,I14)</f>
        <v>27</v>
      </c>
      <c r="P14" s="9" t="s">
        <v>8</v>
      </c>
      <c r="Q14" s="23">
        <f ca="1">IF(SUMIFS(ExpenseAmount,ExpenseDate,"&gt;="&amp;DATE(SelYear,SelMonth,1),ExpenseDate,"&lt;="&amp;EOMONTH(DATE(SelYear,SelMonth,1),0),ExpenseCategory,I14)=0,NA(),SUMIFS(ExpenseAmount,ExpenseDate,"&gt;="&amp;DATE(SelYear,SelMonth,1),ExpenseDate,"&lt;="&amp;EOMONTH(DATE(SelYear,SelMonth,1),0),ExpenseCategory,I14))</f>
        <v>27</v>
      </c>
      <c r="R14" s="9" t="s">
        <v>22</v>
      </c>
    </row>
    <row r="15" spans="1:22" ht="15.75" thickBot="1" x14ac:dyDescent="0.3">
      <c r="I15" s="16" t="s">
        <v>9</v>
      </c>
      <c r="J15" s="17">
        <f ca="1">SUMIFS(ExpenseAmount,ExpenseDate,"&gt;="&amp;DATE(SelYear,SelMonth,1),ExpenseDate,"&lt;="&amp;EOMONTH(DATE(SelYear,SelMonth,1),0),ExpenseCategory,I15)</f>
        <v>194</v>
      </c>
      <c r="P15" s="9" t="s">
        <v>9</v>
      </c>
      <c r="Q15" s="23">
        <f ca="1">IF(SUMIFS(ExpenseAmount,ExpenseDate,"&gt;="&amp;DATE(SelYear,SelMonth,1),ExpenseDate,"&lt;="&amp;EOMONTH(DATE(SelYear,SelMonth,1),0),ExpenseCategory,I15)=0,NA(),SUMIFS(ExpenseAmount,ExpenseDate,"&gt;="&amp;DATE(SelYear,SelMonth,1),ExpenseDate,"&lt;="&amp;EOMONTH(DATE(SelYear,SelMonth,1),0),ExpenseCategory,I15))</f>
        <v>194</v>
      </c>
      <c r="R15" s="9" t="s">
        <v>23</v>
      </c>
    </row>
    <row r="16" spans="1:22" ht="15.75" thickBot="1" x14ac:dyDescent="0.3">
      <c r="I16" s="16" t="s">
        <v>10</v>
      </c>
      <c r="J16" s="17">
        <f ca="1">SUMIFS(ExpenseAmount,ExpenseDate,"&gt;="&amp;DATE(SelYear,SelMonth,1),ExpenseDate,"&lt;="&amp;EOMONTH(DATE(SelYear,SelMonth,1),0),ExpenseCategory,I16)</f>
        <v>139</v>
      </c>
      <c r="P16" s="9" t="s">
        <v>10</v>
      </c>
      <c r="Q16" s="23">
        <f ca="1">IF(SUMIFS(ExpenseAmount,ExpenseDate,"&gt;="&amp;DATE(SelYear,SelMonth,1),ExpenseDate,"&lt;="&amp;EOMONTH(DATE(SelYear,SelMonth,1),0),ExpenseCategory,I16)=0,NA(),SUMIFS(ExpenseAmount,ExpenseDate,"&gt;="&amp;DATE(SelYear,SelMonth,1),ExpenseDate,"&lt;="&amp;EOMONTH(DATE(SelYear,SelMonth,1),0),ExpenseCategory,I16))</f>
        <v>139</v>
      </c>
      <c r="R16" s="9" t="s">
        <v>24</v>
      </c>
    </row>
    <row r="17" spans="9:18" ht="15.75" thickBot="1" x14ac:dyDescent="0.3">
      <c r="I17" s="16" t="s">
        <v>11</v>
      </c>
      <c r="J17" s="17">
        <f ca="1">SUMIFS(ExpenseAmount,ExpenseDate,"&gt;="&amp;DATE(SelYear,SelMonth,1),ExpenseDate,"&lt;="&amp;EOMONTH(DATE(SelYear,SelMonth,1),0),ExpenseCategory,I17)</f>
        <v>124</v>
      </c>
      <c r="P17" s="9" t="s">
        <v>11</v>
      </c>
      <c r="Q17" s="23">
        <f ca="1">IF(SUMIFS(ExpenseAmount,ExpenseDate,"&gt;="&amp;DATE(SelYear,SelMonth,1),ExpenseDate,"&lt;="&amp;EOMONTH(DATE(SelYear,SelMonth,1),0),ExpenseCategory,I17)=0,NA(),SUMIFS(ExpenseAmount,ExpenseDate,"&gt;="&amp;DATE(SelYear,SelMonth,1),ExpenseDate,"&lt;="&amp;EOMONTH(DATE(SelYear,SelMonth,1),0),ExpenseCategory,I17))</f>
        <v>124</v>
      </c>
      <c r="R17" s="9" t="s">
        <v>25</v>
      </c>
    </row>
    <row r="18" spans="9:18" ht="15.75" thickBot="1" x14ac:dyDescent="0.3">
      <c r="I18" s="16" t="s">
        <v>12</v>
      </c>
      <c r="J18" s="17">
        <f ca="1">SUMIFS(ExpenseAmount,ExpenseDate,"&gt;="&amp;DATE(SelYear,SelMonth,1),ExpenseDate,"&lt;="&amp;EOMONTH(DATE(SelYear,SelMonth,1),0),ExpenseCategory,I18)</f>
        <v>117</v>
      </c>
      <c r="P18" s="9" t="s">
        <v>12</v>
      </c>
      <c r="Q18" s="23">
        <f ca="1">IF(SUMIFS(ExpenseAmount,ExpenseDate,"&gt;="&amp;DATE(SelYear,SelMonth,1),ExpenseDate,"&lt;="&amp;EOMONTH(DATE(SelYear,SelMonth,1),0),ExpenseCategory,I18)=0,NA(),SUMIFS(ExpenseAmount,ExpenseDate,"&gt;="&amp;DATE(SelYear,SelMonth,1),ExpenseDate,"&lt;="&amp;EOMONTH(DATE(SelYear,SelMonth,1),0),ExpenseCategory,I18))</f>
        <v>117</v>
      </c>
      <c r="R18" s="9" t="s">
        <v>26</v>
      </c>
    </row>
    <row r="19" spans="9:18" ht="15.75" thickBot="1" x14ac:dyDescent="0.3">
      <c r="I19" s="16" t="s">
        <v>13</v>
      </c>
      <c r="J19" s="17">
        <f ca="1">SUMIFS(ExpenseAmount,ExpenseDate,"&gt;="&amp;DATE(SelYear,SelMonth,1),ExpenseDate,"&lt;="&amp;EOMONTH(DATE(SelYear,SelMonth,1),0),ExpenseCategory,I19)</f>
        <v>93</v>
      </c>
      <c r="P19" s="9" t="s">
        <v>13</v>
      </c>
      <c r="Q19" s="23">
        <f ca="1">IF(SUMIFS(ExpenseAmount,ExpenseDate,"&gt;="&amp;DATE(SelYear,SelMonth,1),ExpenseDate,"&lt;="&amp;EOMONTH(DATE(SelYear,SelMonth,1),0),ExpenseCategory,I19)=0,NA(),SUMIFS(ExpenseAmount,ExpenseDate,"&gt;="&amp;DATE(SelYear,SelMonth,1),ExpenseDate,"&lt;="&amp;EOMONTH(DATE(SelYear,SelMonth,1),0),ExpenseCategory,I19))</f>
        <v>93</v>
      </c>
      <c r="R19" s="9" t="s">
        <v>27</v>
      </c>
    </row>
    <row r="20" spans="9:18" ht="15.75" thickBot="1" x14ac:dyDescent="0.3">
      <c r="I20" s="16" t="s">
        <v>14</v>
      </c>
      <c r="J20" s="17">
        <f ca="1">SUMIFS(ExpenseAmount,ExpenseDate,"&gt;="&amp;DATE(SelYear,SelMonth,1),ExpenseDate,"&lt;="&amp;EOMONTH(DATE(SelYear,SelMonth,1),0),ExpenseCategory,I20)</f>
        <v>0</v>
      </c>
      <c r="P20" s="9" t="s">
        <v>14</v>
      </c>
      <c r="Q20" s="23" t="e">
        <f ca="1">IF(SUMIFS(ExpenseAmount,ExpenseDate,"&gt;="&amp;DATE(SelYear,SelMonth,1),ExpenseDate,"&lt;="&amp;EOMONTH(DATE(SelYear,SelMonth,1),0),ExpenseCategory,I20)=0,NA(),SUMIFS(ExpenseAmount,ExpenseDate,"&gt;="&amp;DATE(SelYear,SelMonth,1),ExpenseDate,"&lt;="&amp;EOMONTH(DATE(SelYear,SelMonth,1),0),ExpenseCategory,I20))</f>
        <v>#N/A</v>
      </c>
      <c r="R20" s="9" t="s">
        <v>28</v>
      </c>
    </row>
    <row r="21" spans="9:18" ht="15.75" thickBot="1" x14ac:dyDescent="0.3">
      <c r="I21" s="18" t="s">
        <v>32</v>
      </c>
      <c r="J21" s="20">
        <f ca="1">SUM(J9:J20)</f>
        <v>1241</v>
      </c>
    </row>
    <row r="22" spans="9:18" ht="16.5" thickTop="1" thickBot="1" x14ac:dyDescent="0.3">
      <c r="I22" s="19" t="str">
        <f>E2&amp;" Budget"</f>
        <v>January Budget</v>
      </c>
      <c r="J22" s="21">
        <f>I2</f>
        <v>50000</v>
      </c>
      <c r="P22" t="s">
        <v>36</v>
      </c>
    </row>
    <row r="23" spans="9:18" ht="16.5" thickTop="1" thickBot="1" x14ac:dyDescent="0.3">
      <c r="I23" s="19" t="s">
        <v>35</v>
      </c>
      <c r="J23" s="21">
        <f ca="1">J22-J21</f>
        <v>48759</v>
      </c>
    </row>
    <row r="24" spans="9:18" ht="15.75" thickTop="1" x14ac:dyDescent="0.25"/>
  </sheetData>
  <mergeCells count="2">
    <mergeCell ref="A1:V1"/>
    <mergeCell ref="P8:Q8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0"/>
  <sheetViews>
    <sheetView topLeftCell="A34" workbookViewId="0">
      <selection activeCell="C34" sqref="C1:C1048576"/>
    </sheetView>
  </sheetViews>
  <sheetFormatPr defaultRowHeight="15" x14ac:dyDescent="0.25"/>
  <cols>
    <col min="1" max="1" width="10.7109375" style="8" bestFit="1" customWidth="1"/>
    <col min="2" max="2" width="16.140625" bestFit="1" customWidth="1"/>
    <col min="3" max="3" width="9.7109375" style="7" bestFit="1" customWidth="1"/>
  </cols>
  <sheetData>
    <row r="1" spans="1:3" x14ac:dyDescent="0.25">
      <c r="A1" s="8" t="s">
        <v>17</v>
      </c>
      <c r="B1" t="s">
        <v>16</v>
      </c>
      <c r="C1" s="7" t="s">
        <v>15</v>
      </c>
    </row>
    <row r="2" spans="1:3" x14ac:dyDescent="0.25">
      <c r="A2" s="8">
        <v>43840</v>
      </c>
      <c r="B2" t="s">
        <v>3</v>
      </c>
      <c r="C2" s="7">
        <v>101</v>
      </c>
    </row>
    <row r="3" spans="1:3" x14ac:dyDescent="0.25">
      <c r="A3" s="8">
        <f>A2+2</f>
        <v>43842</v>
      </c>
      <c r="B3" t="s">
        <v>33</v>
      </c>
      <c r="C3" s="7">
        <v>85</v>
      </c>
    </row>
    <row r="4" spans="1:3" x14ac:dyDescent="0.25">
      <c r="A4" s="8">
        <f t="shared" ref="A4:A37" si="0">A3+2</f>
        <v>43844</v>
      </c>
      <c r="B4" t="s">
        <v>34</v>
      </c>
      <c r="C4" s="7">
        <v>124</v>
      </c>
    </row>
    <row r="5" spans="1:3" x14ac:dyDescent="0.25">
      <c r="A5" s="8">
        <f t="shared" si="0"/>
        <v>43846</v>
      </c>
      <c r="B5" t="s">
        <v>6</v>
      </c>
      <c r="C5" s="7">
        <v>75</v>
      </c>
    </row>
    <row r="6" spans="1:3" x14ac:dyDescent="0.25">
      <c r="A6" s="8">
        <f t="shared" si="0"/>
        <v>43848</v>
      </c>
      <c r="B6" t="s">
        <v>7</v>
      </c>
      <c r="C6" s="7">
        <v>162</v>
      </c>
    </row>
    <row r="7" spans="1:3" x14ac:dyDescent="0.25">
      <c r="A7" s="8">
        <f t="shared" si="0"/>
        <v>43850</v>
      </c>
      <c r="B7" t="s">
        <v>8</v>
      </c>
      <c r="C7" s="7">
        <v>27</v>
      </c>
    </row>
    <row r="8" spans="1:3" x14ac:dyDescent="0.25">
      <c r="A8" s="8">
        <f t="shared" si="0"/>
        <v>43852</v>
      </c>
      <c r="B8" t="s">
        <v>9</v>
      </c>
      <c r="C8" s="7">
        <v>194</v>
      </c>
    </row>
    <row r="9" spans="1:3" x14ac:dyDescent="0.25">
      <c r="A9" s="8">
        <f t="shared" si="0"/>
        <v>43854</v>
      </c>
      <c r="B9" t="s">
        <v>10</v>
      </c>
      <c r="C9" s="7">
        <v>139</v>
      </c>
    </row>
    <row r="10" spans="1:3" x14ac:dyDescent="0.25">
      <c r="A10" s="8">
        <f t="shared" si="0"/>
        <v>43856</v>
      </c>
      <c r="B10" t="s">
        <v>11</v>
      </c>
      <c r="C10" s="7">
        <v>124</v>
      </c>
    </row>
    <row r="11" spans="1:3" x14ac:dyDescent="0.25">
      <c r="A11" s="8">
        <f t="shared" si="0"/>
        <v>43858</v>
      </c>
      <c r="B11" t="s">
        <v>12</v>
      </c>
      <c r="C11" s="7">
        <v>117</v>
      </c>
    </row>
    <row r="12" spans="1:3" x14ac:dyDescent="0.25">
      <c r="A12" s="8">
        <f t="shared" si="0"/>
        <v>43860</v>
      </c>
      <c r="B12" t="s">
        <v>13</v>
      </c>
      <c r="C12" s="7">
        <v>93</v>
      </c>
    </row>
    <row r="13" spans="1:3" x14ac:dyDescent="0.25">
      <c r="A13" s="8">
        <f>A12+2</f>
        <v>43862</v>
      </c>
      <c r="B13" t="s">
        <v>14</v>
      </c>
      <c r="C13" s="7">
        <v>123</v>
      </c>
    </row>
    <row r="14" spans="1:3" x14ac:dyDescent="0.25">
      <c r="A14" s="8">
        <f t="shared" si="0"/>
        <v>43864</v>
      </c>
      <c r="B14" t="s">
        <v>3</v>
      </c>
      <c r="C14" s="7">
        <v>44</v>
      </c>
    </row>
    <row r="15" spans="1:3" x14ac:dyDescent="0.25">
      <c r="A15" s="8">
        <f t="shared" si="0"/>
        <v>43866</v>
      </c>
      <c r="B15" t="s">
        <v>33</v>
      </c>
      <c r="C15" s="7">
        <v>127</v>
      </c>
    </row>
    <row r="16" spans="1:3" x14ac:dyDescent="0.25">
      <c r="A16" s="8">
        <f t="shared" si="0"/>
        <v>43868</v>
      </c>
      <c r="B16" t="s">
        <v>34</v>
      </c>
      <c r="C16" s="7">
        <v>25</v>
      </c>
    </row>
    <row r="17" spans="1:3" x14ac:dyDescent="0.25">
      <c r="A17" s="8">
        <f t="shared" si="0"/>
        <v>43870</v>
      </c>
      <c r="B17" t="s">
        <v>6</v>
      </c>
      <c r="C17" s="7">
        <v>138</v>
      </c>
    </row>
    <row r="18" spans="1:3" x14ac:dyDescent="0.25">
      <c r="A18" s="8">
        <f t="shared" si="0"/>
        <v>43872</v>
      </c>
      <c r="B18" t="s">
        <v>7</v>
      </c>
      <c r="C18" s="7">
        <v>39</v>
      </c>
    </row>
    <row r="19" spans="1:3" x14ac:dyDescent="0.25">
      <c r="A19" s="8">
        <f t="shared" si="0"/>
        <v>43874</v>
      </c>
      <c r="B19" t="s">
        <v>8</v>
      </c>
      <c r="C19" s="7">
        <v>113</v>
      </c>
    </row>
    <row r="20" spans="1:3" x14ac:dyDescent="0.25">
      <c r="A20" s="8">
        <f t="shared" si="0"/>
        <v>43876</v>
      </c>
      <c r="B20" t="s">
        <v>9</v>
      </c>
      <c r="C20" s="7">
        <v>48</v>
      </c>
    </row>
    <row r="21" spans="1:3" x14ac:dyDescent="0.25">
      <c r="A21" s="8">
        <f t="shared" si="0"/>
        <v>43878</v>
      </c>
      <c r="B21" t="s">
        <v>10</v>
      </c>
      <c r="C21" s="7">
        <v>177</v>
      </c>
    </row>
    <row r="22" spans="1:3" x14ac:dyDescent="0.25">
      <c r="A22" s="8">
        <f t="shared" si="0"/>
        <v>43880</v>
      </c>
      <c r="B22" t="s">
        <v>11</v>
      </c>
      <c r="C22" s="7">
        <v>52</v>
      </c>
    </row>
    <row r="23" spans="1:3" x14ac:dyDescent="0.25">
      <c r="A23" s="8">
        <f t="shared" si="0"/>
        <v>43882</v>
      </c>
      <c r="B23" t="s">
        <v>12</v>
      </c>
      <c r="C23" s="7">
        <v>182</v>
      </c>
    </row>
    <row r="24" spans="1:3" x14ac:dyDescent="0.25">
      <c r="A24" s="8">
        <f t="shared" si="0"/>
        <v>43884</v>
      </c>
      <c r="B24" t="s">
        <v>13</v>
      </c>
      <c r="C24" s="7">
        <v>65</v>
      </c>
    </row>
    <row r="25" spans="1:3" x14ac:dyDescent="0.25">
      <c r="A25" s="8">
        <f t="shared" si="0"/>
        <v>43886</v>
      </c>
      <c r="B25" t="s">
        <v>14</v>
      </c>
      <c r="C25" s="7">
        <v>120</v>
      </c>
    </row>
    <row r="26" spans="1:3" x14ac:dyDescent="0.25">
      <c r="A26" s="8">
        <f t="shared" si="0"/>
        <v>43888</v>
      </c>
      <c r="B26" t="s">
        <v>3</v>
      </c>
      <c r="C26" s="7">
        <v>68</v>
      </c>
    </row>
    <row r="27" spans="1:3" x14ac:dyDescent="0.25">
      <c r="A27" s="8">
        <f t="shared" si="0"/>
        <v>43890</v>
      </c>
      <c r="B27" t="s">
        <v>33</v>
      </c>
      <c r="C27" s="7">
        <v>71</v>
      </c>
    </row>
    <row r="28" spans="1:3" x14ac:dyDescent="0.25">
      <c r="A28" s="8">
        <f t="shared" si="0"/>
        <v>43892</v>
      </c>
      <c r="B28" t="s">
        <v>34</v>
      </c>
      <c r="C28" s="7">
        <v>114</v>
      </c>
    </row>
    <row r="29" spans="1:3" x14ac:dyDescent="0.25">
      <c r="A29" s="8">
        <f t="shared" si="0"/>
        <v>43894</v>
      </c>
      <c r="B29" t="s">
        <v>6</v>
      </c>
      <c r="C29" s="7">
        <v>139</v>
      </c>
    </row>
    <row r="30" spans="1:3" x14ac:dyDescent="0.25">
      <c r="A30" s="8">
        <f t="shared" si="0"/>
        <v>43896</v>
      </c>
      <c r="B30" t="s">
        <v>7</v>
      </c>
      <c r="C30" s="7">
        <v>72</v>
      </c>
    </row>
    <row r="31" spans="1:3" x14ac:dyDescent="0.25">
      <c r="A31" s="8">
        <f t="shared" si="0"/>
        <v>43898</v>
      </c>
      <c r="B31" t="s">
        <v>8</v>
      </c>
      <c r="C31" s="7">
        <v>45</v>
      </c>
    </row>
    <row r="32" spans="1:3" x14ac:dyDescent="0.25">
      <c r="A32" s="8">
        <f t="shared" si="0"/>
        <v>43900</v>
      </c>
      <c r="B32" t="s">
        <v>9</v>
      </c>
      <c r="C32" s="7">
        <v>157</v>
      </c>
    </row>
    <row r="33" spans="1:3" x14ac:dyDescent="0.25">
      <c r="A33" s="8">
        <f t="shared" si="0"/>
        <v>43902</v>
      </c>
      <c r="B33" t="s">
        <v>10</v>
      </c>
      <c r="C33" s="7">
        <v>189</v>
      </c>
    </row>
    <row r="34" spans="1:3" x14ac:dyDescent="0.25">
      <c r="A34" s="8">
        <f t="shared" si="0"/>
        <v>43904</v>
      </c>
      <c r="B34" t="s">
        <v>11</v>
      </c>
      <c r="C34" s="7">
        <v>90</v>
      </c>
    </row>
    <row r="35" spans="1:3" x14ac:dyDescent="0.25">
      <c r="A35" s="8">
        <f t="shared" si="0"/>
        <v>43906</v>
      </c>
      <c r="B35" t="s">
        <v>12</v>
      </c>
      <c r="C35" s="7">
        <v>158</v>
      </c>
    </row>
    <row r="36" spans="1:3" x14ac:dyDescent="0.25">
      <c r="A36" s="8">
        <f t="shared" si="0"/>
        <v>43908</v>
      </c>
      <c r="B36" t="s">
        <v>13</v>
      </c>
      <c r="C36" s="7">
        <v>199</v>
      </c>
    </row>
    <row r="37" spans="1:3" x14ac:dyDescent="0.25">
      <c r="A37" s="8">
        <f t="shared" si="0"/>
        <v>43910</v>
      </c>
      <c r="B37" t="s">
        <v>14</v>
      </c>
      <c r="C37" s="7">
        <v>122</v>
      </c>
    </row>
    <row r="38" spans="1:3" x14ac:dyDescent="0.25">
      <c r="A38" s="8">
        <v>43925</v>
      </c>
      <c r="B38" t="s">
        <v>3</v>
      </c>
      <c r="C38" s="7">
        <v>45</v>
      </c>
    </row>
    <row r="39" spans="1:3" x14ac:dyDescent="0.25">
      <c r="A39" s="8">
        <v>43925</v>
      </c>
      <c r="B39" t="s">
        <v>3</v>
      </c>
      <c r="C39" s="7">
        <v>47</v>
      </c>
    </row>
    <row r="40" spans="1:3" x14ac:dyDescent="0.25">
      <c r="A40" s="8">
        <v>43865</v>
      </c>
      <c r="B40" t="s">
        <v>34</v>
      </c>
      <c r="C40" s="7">
        <v>20.52</v>
      </c>
    </row>
    <row r="41" spans="1:3" x14ac:dyDescent="0.25">
      <c r="A41" s="8">
        <v>43925</v>
      </c>
      <c r="B41" t="s">
        <v>3</v>
      </c>
      <c r="C41" s="7">
        <v>25</v>
      </c>
    </row>
    <row r="42" spans="1:3" x14ac:dyDescent="0.25">
      <c r="A42" s="8">
        <v>43926</v>
      </c>
      <c r="B42" t="s">
        <v>33</v>
      </c>
      <c r="C42" s="7">
        <v>451</v>
      </c>
    </row>
    <row r="43" spans="1:3" x14ac:dyDescent="0.25">
      <c r="A43" s="8">
        <v>43926</v>
      </c>
      <c r="B43" t="s">
        <v>33</v>
      </c>
      <c r="C43" s="7">
        <v>451</v>
      </c>
    </row>
    <row r="44" spans="1:3" x14ac:dyDescent="0.25">
      <c r="A44" s="8">
        <v>43926</v>
      </c>
      <c r="B44" t="s">
        <v>33</v>
      </c>
      <c r="C44" s="7">
        <v>451</v>
      </c>
    </row>
    <row r="45" spans="1:3" x14ac:dyDescent="0.25">
      <c r="A45" s="8">
        <v>43926</v>
      </c>
      <c r="B45" t="s">
        <v>33</v>
      </c>
      <c r="C45" s="7">
        <v>451</v>
      </c>
    </row>
    <row r="46" spans="1:3" x14ac:dyDescent="0.25">
      <c r="A46" s="8">
        <v>43926</v>
      </c>
      <c r="B46" t="s">
        <v>33</v>
      </c>
      <c r="C46" s="7">
        <v>451</v>
      </c>
    </row>
    <row r="47" spans="1:3" x14ac:dyDescent="0.25">
      <c r="A47" s="8">
        <v>43926</v>
      </c>
      <c r="B47" t="s">
        <v>33</v>
      </c>
      <c r="C47" s="7">
        <v>45</v>
      </c>
    </row>
    <row r="48" spans="1:3" x14ac:dyDescent="0.25">
      <c r="A48" s="8">
        <v>43926</v>
      </c>
      <c r="B48" t="s">
        <v>6</v>
      </c>
      <c r="C48" s="7">
        <v>25</v>
      </c>
    </row>
    <row r="49" spans="1:3" x14ac:dyDescent="0.25">
      <c r="A49" s="8">
        <v>44414</v>
      </c>
      <c r="B49" t="s">
        <v>7</v>
      </c>
      <c r="C49" s="7">
        <v>45</v>
      </c>
    </row>
    <row r="50" spans="1:3" x14ac:dyDescent="0.25">
      <c r="A50" s="8">
        <v>44414</v>
      </c>
      <c r="B50" t="s">
        <v>33</v>
      </c>
      <c r="C50" s="7">
        <v>66</v>
      </c>
    </row>
  </sheetData>
  <autoFilter ref="A1:A51"/>
  <sortState ref="A1:C51">
    <sortCondition descending="1" ref="A2:A51" customList="January,February,March,April,May,June,July,August,September,October,November,December"/>
  </sortState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Sheet1</vt:lpstr>
      <vt:lpstr>Sheet2</vt:lpstr>
      <vt:lpstr>Sheet3</vt:lpstr>
      <vt:lpstr>categories</vt:lpstr>
      <vt:lpstr>Sheet2!date_number_50</vt:lpstr>
      <vt:lpstr>Months</vt:lpstr>
      <vt:lpstr>SelMonth</vt:lpstr>
      <vt:lpstr>SelYear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</dc:creator>
  <cp:lastModifiedBy>deep</cp:lastModifiedBy>
  <dcterms:created xsi:type="dcterms:W3CDTF">2021-08-04T11:30:51Z</dcterms:created>
  <dcterms:modified xsi:type="dcterms:W3CDTF">2021-08-05T21:25:14Z</dcterms:modified>
</cp:coreProperties>
</file>